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struzioni" sheetId="1" state="visible" r:id="rId3"/>
    <sheet name="Sheet" sheetId="2" state="visible" r:id="rId4"/>
    <sheet name="01 Paziente" sheetId="3" state="visible" r:id="rId5"/>
    <sheet name="02 Riferimenti" sheetId="4" state="visible" r:id="rId6"/>
    <sheet name="03 Indici" sheetId="5" state="visible" r:id="rId7"/>
    <sheet name="04 Punteggio" sheetId="6" state="visible" r:id="rId8"/>
    <sheet name="05 Follow-up" sheetId="7" state="visible" r:id="rId9"/>
  </sheets>
  <definedNames>
    <definedName function="false" hidden="true" localSheetId="4" name="_xlnm._FilterDatabase" vbProcedure="false">'03 Indici'!$A$4:$L$47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<sst xmlns="http://schemas.openxmlformats.org/spreadsheetml/2006/main" count="585" uniqueCount="327">
  <si>
    <t xml:space="preserve">Scheda indici cardiometabolici - versione per inserimento dati</t>
  </si>
  <si>
    <t xml:space="preserve">Uomini e donne. Formule e soglie si adattano automaticamente al sesso indicato nel foglio 01.</t>
  </si>
  <si>
    <t xml:space="preserve">A COSA SERVE</t>
  </si>
  <si>
    <t xml:space="preserve">Calcolare da misure di routine una batteria di indici che i referti ordinari non riportano, e sintetizzarli in un punteggio unico di orientamento. Non richiede alcun esame aggiuntivo: tutto si ricava da metro da sarta, bilancia, pressione, emocromo e un profilo biochimico di base.</t>
  </si>
  <si>
    <t xml:space="preserve">COSA NON E</t>
  </si>
  <si>
    <t xml:space="preserve">Non e un dispositivo medico e non produce una diagnosi. Il punteggio e costruito su pesi scelti dall'autore del foglio e non e uno score clinico validato su una popolazione. Serve a mettere in fila dati che altrimenti restano sparsi, e a far emergere pattern che il singolo valore non mostra. La decisione clinica resta interamente al medico che ha in cura la persona.</t>
  </si>
  <si>
    <t xml:space="preserve">COME SI USA</t>
  </si>
  <si>
    <t xml:space="preserve">1) Foglio '01 Paziente': compila le celle gialle. Le grigie sono facoltative.
2) Indica il sesso: cambia le formule di quattro indici e le soglie di quindici.
3) Foglio '04 Punteggio': leggi il punteggio globale, la copertura dei dati e le segnalazioni.
4) Foglio '03 Indici': il dettaglio, se serve capire da dove viene il punteggio.
5) Foglio '05 Follow-up': riporta i controlli successivi.</t>
  </si>
  <si>
    <t xml:space="preserve">DATI MANCANTI</t>
  </si>
  <si>
    <t xml:space="preserve">Un indice senza tutti i dati necessari mostra 'n.d.' e resta fuori dal punteggio: non viene stimato ne sostituito. Il foglio 04 indica la percentuale di copertura raggiunta. Sotto il 50% il punteggio va letto con molta cautela, perche misura solo la parte di quadro che i dati coprono.</t>
  </si>
  <si>
    <t xml:space="preserve">COSA NON SI PUO RICAVARE</t>
  </si>
  <si>
    <t xml:space="preserve">Alcuni dati non si ottengono per calcolo da altri, e il foglio non prova a inventarli: epcidina, contenuto emoglobinico reticolocitario, polisonnografia, test da sforzo, composizione corporea strumentale. Dove servirebbero, il foglio lo segnala come approfondimento da proporre, non come valore stimato.</t>
  </si>
  <si>
    <t xml:space="preserve">STIME E MISURE</t>
  </si>
  <si>
    <t xml:space="preserve">Tre valori del foglio sono stime di popolazione, non misure: la percentuale di grasso corporeo (derivata dal BMI), la frequenza cardiaca massima (derivata dall'eta) e il peso ideale. Portano un errore che nelle formule successive non e piu visibile. Vanno trattati come orientamento, non come dati del paziente.</t>
  </si>
  <si>
    <t xml:space="preserve">IL PUNTEGGIO</t>
  </si>
  <si>
    <t xml:space="preserve">Non e la somma dei singoli indici. Molti indici nascono dalla stessa misura, quindi sommarli conterebbe piu volte lo stesso dato: la circonferenza vita da sola alimenta sei indici, i linfociti sette. Il punteggio raggruppa gli indici per misura di origine, fa la media di ogni gruppo e somma i gruppi, cosi ogni misura pesa una volta sola. Il dettaglio e nel foglio 04.</t>
  </si>
  <si>
    <t xml:space="preserve">SOGLIE</t>
  </si>
  <si>
    <t xml:space="preserve">Tutte le soglie stanno nel foglio '02 Riferimenti' e sono modificabili. Se il tuo laboratorio usa intervalli diversi, cambiali li: il resto del foglio si adegua. Le soglie evidenziate in rosso sono quelle che differiscono fra uomo e donna.</t>
  </si>
  <si>
    <t xml:space="preserve">PRIVACY</t>
  </si>
  <si>
    <t xml:space="preserve">Il foglio non richiede dati identificativi. Se lo condividi, usa un codice al posto del nome.</t>
  </si>
  <si>
    <t xml:space="preserve">01 - Dati del paziente</t>
  </si>
  <si>
    <t xml:space="preserve">Compila le celle gialle. Le celle grigie sono facoltative: se le lasci vuote gli indici che le usano restituiscono 'n.d.' e non entrano nel punteggio.</t>
  </si>
  <si>
    <t xml:space="preserve">Dato</t>
  </si>
  <si>
    <t xml:space="preserve">Valore</t>
  </si>
  <si>
    <t xml:space="preserve">Unita</t>
  </si>
  <si>
    <t xml:space="preserve">Obbl.</t>
  </si>
  <si>
    <t xml:space="preserve">Nota</t>
  </si>
  <si>
    <t xml:space="preserve">IDENTIFICAZIONE</t>
  </si>
  <si>
    <t xml:space="preserve">Identificativo / codice paziente</t>
  </si>
  <si>
    <t xml:space="preserve">si</t>
  </si>
  <si>
    <t xml:space="preserve">Non inserire dati identificativi diretti se il file viene condiviso</t>
  </si>
  <si>
    <t xml:space="preserve">Data della valutazione</t>
  </si>
  <si>
    <t xml:space="preserve">gg/mm/aaaa</t>
  </si>
  <si>
    <t xml:space="preserve">Serve al foglio 05 per il confronto nel tempo</t>
  </si>
  <si>
    <t xml:space="preserve">Sesso</t>
  </si>
  <si>
    <t xml:space="preserve">M</t>
  </si>
  <si>
    <t xml:space="preserve">M / F</t>
  </si>
  <si>
    <t xml:space="preserve">DETERMINANTE: cambia formule e soglie di 14 indici. Menu a tendina</t>
  </si>
  <si>
    <t xml:space="preserve">Eta</t>
  </si>
  <si>
    <t xml:space="preserve">anni</t>
  </si>
  <si>
    <t xml:space="preserve">ANTROPOMETRIA (metro da sarta e bilancia)</t>
  </si>
  <si>
    <t xml:space="preserve">Peso</t>
  </si>
  <si>
    <t xml:space="preserve">kg</t>
  </si>
  <si>
    <t xml:space="preserve">Altezza</t>
  </si>
  <si>
    <t xml:space="preserve">cm</t>
  </si>
  <si>
    <t xml:space="preserve">Circonferenza vita</t>
  </si>
  <si>
    <t xml:space="preserve">A fine espirazione, a meta fra ultima costa e cresta iliaca. E la misura piu importante del foglio: da sola alimenta sei indici</t>
  </si>
  <si>
    <t xml:space="preserve">Circonferenza fianchi</t>
  </si>
  <si>
    <t xml:space="preserve">no</t>
  </si>
  <si>
    <t xml:space="preserve">Serve a vita/fianchi, BAI e volume addominale</t>
  </si>
  <si>
    <t xml:space="preserve">Circonferenza polpaccio</t>
  </si>
  <si>
    <t xml:space="preserve">Surrogato della massa muscolare. Soglia 34 cm nell'uomo, 33 nella donna</t>
  </si>
  <si>
    <t xml:space="preserve">Circonferenza polso</t>
  </si>
  <si>
    <t xml:space="preserve">Morfotipo. E l'unica misura che non cambia con dieta o allenamento</t>
  </si>
  <si>
    <t xml:space="preserve">PRESSIONE E CUORE</t>
  </si>
  <si>
    <t xml:space="preserve">Pressione sistolica</t>
  </si>
  <si>
    <t xml:space="preserve">mmHg</t>
  </si>
  <si>
    <t xml:space="preserve">Pressione diastolica</t>
  </si>
  <si>
    <t xml:space="preserve">Frequenza cardiaca a riposo</t>
  </si>
  <si>
    <t xml:space="preserve">bpm</t>
  </si>
  <si>
    <t xml:space="preserve">Da misurare seduto, dopo cinque minuti di riposo</t>
  </si>
  <si>
    <t xml:space="preserve">Gittata sistolica</t>
  </si>
  <si>
    <t xml:space="preserve">mL</t>
  </si>
  <si>
    <t xml:space="preserve">Solo se disponibile da ecocardiogramma o bioimpedenza cardiaca</t>
  </si>
  <si>
    <t xml:space="preserve">LIPIDI E METABOLISMO</t>
  </si>
  <si>
    <t xml:space="preserve">Colesterolo HDL</t>
  </si>
  <si>
    <t xml:space="preserve">mg/dL</t>
  </si>
  <si>
    <t xml:space="preserve">Entra in quattro indici: e il denominatore piu ricorrente del foglio</t>
  </si>
  <si>
    <t xml:space="preserve">Trigliceridi</t>
  </si>
  <si>
    <t xml:space="preserve">Uricemia</t>
  </si>
  <si>
    <t xml:space="preserve">Omocisteina</t>
  </si>
  <si>
    <t xml:space="preserve">uM</t>
  </si>
  <si>
    <t xml:space="preserve">ASSETTO MARZIALE</t>
  </si>
  <si>
    <t xml:space="preserve">Sideremia</t>
  </si>
  <si>
    <t xml:space="preserve">ug/dL</t>
  </si>
  <si>
    <t xml:space="preserve">In unita convenzionali. Il prelievo va fatto al mattino a digiuno: il ferro ha un ritmo circadiano marcato</t>
  </si>
  <si>
    <t xml:space="preserve">Transferrina</t>
  </si>
  <si>
    <t xml:space="preserve">Ferritina</t>
  </si>
  <si>
    <t xml:space="preserve">ug/L</t>
  </si>
  <si>
    <t xml:space="preserve">Non interpretabile da sola se c'e infiammazione: il foglio lo segnala</t>
  </si>
  <si>
    <t xml:space="preserve">INFIAMMAZIONE ED EMOCROMO</t>
  </si>
  <si>
    <t xml:space="preserve">Proteina C reattiva (PCR)</t>
  </si>
  <si>
    <t xml:space="preserve">Serve anche a stabilire se la ferritina e leggibile</t>
  </si>
  <si>
    <t xml:space="preserve">VES a 1 ora</t>
  </si>
  <si>
    <t xml:space="preserve">mm</t>
  </si>
  <si>
    <t xml:space="preserve">Emoglobina</t>
  </si>
  <si>
    <t xml:space="preserve">g/dL</t>
  </si>
  <si>
    <t xml:space="preserve">RDW</t>
  </si>
  <si>
    <t xml:space="preserve">%</t>
  </si>
  <si>
    <t xml:space="preserve">Piastrine</t>
  </si>
  <si>
    <t xml:space="preserve">10^9/L</t>
  </si>
  <si>
    <t xml:space="preserve">Volume piastrinico medio (MPV)</t>
  </si>
  <si>
    <t xml:space="preserve">fL</t>
  </si>
  <si>
    <t xml:space="preserve">Neutrofili (valore assoluto)</t>
  </si>
  <si>
    <t xml:space="preserve">Valore ASSOLUTO, non percentuale</t>
  </si>
  <si>
    <t xml:space="preserve">Linfociti (valore assoluto)</t>
  </si>
  <si>
    <t xml:space="preserve">Valore ASSOLUTO. Da solo alimenta sette indici</t>
  </si>
  <si>
    <t xml:space="preserve">Monociti (valore assoluto)</t>
  </si>
  <si>
    <t xml:space="preserve">Valore ASSOLUTO</t>
  </si>
  <si>
    <t xml:space="preserve">FACOLTATIVI E ANAMNESTICI</t>
  </si>
  <si>
    <t xml:space="preserve">ABSI z-score</t>
  </si>
  <si>
    <t xml:space="preserve">z</t>
  </si>
  <si>
    <t xml:space="preserve">Da inserire solo se il laboratorio lo fornisce: richiede le tabelle di riferimento per eta e sesso. Il foglio calcola comunque l'ABSI grezzo</t>
  </si>
  <si>
    <t xml:space="preserve">Sigarette al giorno</t>
  </si>
  <si>
    <t xml:space="preserve">n/die</t>
  </si>
  <si>
    <t xml:space="preserve">0 se non fumatore</t>
  </si>
  <si>
    <t xml:space="preserve">Anni di abitudine tabagica</t>
  </si>
  <si>
    <t xml:space="preserve">Sedentarieta (1 = si, 0 = no)</t>
  </si>
  <si>
    <t xml:space="preserve">0/1</t>
  </si>
  <si>
    <t xml:space="preserve">Assenza di esercizio strutturato</t>
  </si>
  <si>
    <t xml:space="preserve">Russamento o pause respiratorie riferite (1/0)</t>
  </si>
  <si>
    <t xml:space="preserve">Domanda da porre sempre: non compare in nessun referto</t>
  </si>
  <si>
    <t xml:space="preserve">CALCOLATI AUTOMATICAMENTE - non compilare</t>
  </si>
  <si>
    <t xml:space="preserve">Indice di massa corporea (BMI)</t>
  </si>
  <si>
    <t xml:space="preserve">kg/m2</t>
  </si>
  <si>
    <t xml:space="preserve">auto</t>
  </si>
  <si>
    <t xml:space="preserve">Calcolato da peso e altezza: nessun BMI va inserito a mano</t>
  </si>
  <si>
    <t xml:space="preserve">Superficie corporea (Mosteller)</t>
  </si>
  <si>
    <t xml:space="preserve">m2</t>
  </si>
  <si>
    <t xml:space="preserve">Formula di Mosteller. Sostituisce l'inserimento manuale</t>
  </si>
  <si>
    <t xml:space="preserve">Frequenza cardiaca massima stimata</t>
  </si>
  <si>
    <t xml:space="preserve">Tanaka nell'uomo, Gulati nella donna. E una STIMA di popolazione: l'intervallo atteso e il 90-110% del valore, non il valore secco</t>
  </si>
  <si>
    <t xml:space="preserve">Sesso in forma numerica</t>
  </si>
  <si>
    <t xml:space="preserve">1/0</t>
  </si>
  <si>
    <t xml:space="preserve">Usato dalle formule che hanno un termine per il sesso</t>
  </si>
  <si>
    <t xml:space="preserve">Ferritina interpretabile</t>
  </si>
  <si>
    <t xml:space="preserve">Con PCR sopra 0,5 mg/dL la ferritina misura anche l'infiammazione e non e leggibile come riserva di ferro</t>
  </si>
  <si>
    <t xml:space="preserve">02 - Soglie di riferimento per sesso</t>
  </si>
  <si>
    <t xml:space="preserve">Tutte le soglie sono modificabili: allineale al tuo laboratorio. Il foglio 03 le legge da qui in base al sesso indicato nel foglio 01.</t>
  </si>
  <si>
    <t xml:space="preserve">#</t>
  </si>
  <si>
    <t xml:space="preserve">Indice</t>
  </si>
  <si>
    <t xml:space="preserve">Min uomo</t>
  </si>
  <si>
    <t xml:space="preserve">Max uomo</t>
  </si>
  <si>
    <t xml:space="preserve">Min donna</t>
  </si>
  <si>
    <t xml:space="preserve">Max donna</t>
  </si>
  <si>
    <t xml:space="preserve">Direzione critica</t>
  </si>
  <si>
    <t xml:space="preserve">Gruppo (ridondanza)</t>
  </si>
  <si>
    <t xml:space="preserve">Origine della soglia</t>
  </si>
  <si>
    <t xml:space="preserve">Informativo</t>
  </si>
  <si>
    <t xml:space="preserve">Corporatura</t>
  </si>
  <si>
    <t xml:space="preserve">OMS</t>
  </si>
  <si>
    <t xml:space="preserve">Rapporto vita / altezza</t>
  </si>
  <si>
    <t xml:space="preserve">Alto</t>
  </si>
  <si>
    <t xml:space="preserve">Vita</t>
  </si>
  <si>
    <t xml:space="preserve">Ashwell, PMID 22106927</t>
  </si>
  <si>
    <t xml:space="preserve">Rapporto vita / fianchi</t>
  </si>
  <si>
    <t xml:space="preserve">Conicity Index</t>
  </si>
  <si>
    <t xml:space="preserve">Valdez</t>
  </si>
  <si>
    <t xml:space="preserve">Percentuale di grasso corporeo (stima)</t>
  </si>
  <si>
    <t xml:space="preserve">Deurenberg</t>
  </si>
  <si>
    <t xml:space="preserve">Body Adiposity Index</t>
  </si>
  <si>
    <t xml:space="preserve">Fianchi</t>
  </si>
  <si>
    <t xml:space="preserve">Bergman</t>
  </si>
  <si>
    <t xml:space="preserve">Body Roundness Index</t>
  </si>
  <si>
    <t xml:space="preserve">Thomas</t>
  </si>
  <si>
    <t xml:space="preserve">A Body Shape Index (grezzo)</t>
  </si>
  <si>
    <t xml:space="preserve">Krakauer, PMID 22815707</t>
  </si>
  <si>
    <t xml:space="preserve">Basso</t>
  </si>
  <si>
    <t xml:space="preserve">Muscolo</t>
  </si>
  <si>
    <t xml:space="preserve">EWGSOP2, PMID 30312372</t>
  </si>
  <si>
    <t xml:space="preserve">Peso ideale (Lorenz)</t>
  </si>
  <si>
    <t xml:space="preserve">Lorenz</t>
  </si>
  <si>
    <t xml:space="preserve">Morfotipo (altezza / polso)</t>
  </si>
  <si>
    <t xml:space="preserve">Convenzione antropometrica</t>
  </si>
  <si>
    <t xml:space="preserve">Pressione</t>
  </si>
  <si>
    <t xml:space="preserve">ESC/ESH</t>
  </si>
  <si>
    <t xml:space="preserve">Pressione arteriosa media</t>
  </si>
  <si>
    <t xml:space="preserve">Formula classica</t>
  </si>
  <si>
    <t xml:space="preserve">Pressione di pulsazione</t>
  </si>
  <si>
    <t xml:space="preserve">PMID 33793325</t>
  </si>
  <si>
    <t xml:space="preserve">Frequenza</t>
  </si>
  <si>
    <t xml:space="preserve">PMID 26598376</t>
  </si>
  <si>
    <t xml:space="preserve">Frequenza cardiaca di riserva</t>
  </si>
  <si>
    <t xml:space="preserve">PMID 17446799</t>
  </si>
  <si>
    <t xml:space="preserve">Modified Shock Index</t>
  </si>
  <si>
    <t xml:space="preserve">Letteratura</t>
  </si>
  <si>
    <t xml:space="preserve">Prodotto cardiovascolare</t>
  </si>
  <si>
    <t xml:space="preserve">PMID 38453019</t>
  </si>
  <si>
    <t xml:space="preserve">Portata cardiaca</t>
  </si>
  <si>
    <t xml:space="preserve">Pompa</t>
  </si>
  <si>
    <t xml:space="preserve">Fisiologia</t>
  </si>
  <si>
    <t xml:space="preserve">Cardiac Index</t>
  </si>
  <si>
    <t xml:space="preserve">HDL</t>
  </si>
  <si>
    <t xml:space="preserve">ATP III</t>
  </si>
  <si>
    <t xml:space="preserve">Lipid Accumulation Product</t>
  </si>
  <si>
    <t xml:space="preserve">Kahn, PMID 16150143</t>
  </si>
  <si>
    <t xml:space="preserve">Cardiometabolic Index</t>
  </si>
  <si>
    <t xml:space="preserve">Wakabayashi, PMID 25199852</t>
  </si>
  <si>
    <t xml:space="preserve">Visceral Adiposity Index</t>
  </si>
  <si>
    <t xml:space="preserve">Amato, PMID 20067971</t>
  </si>
  <si>
    <t xml:space="preserve">Laboratorio</t>
  </si>
  <si>
    <t xml:space="preserve">Uricemia / HDL</t>
  </si>
  <si>
    <t xml:space="preserve">Saturazione della transferrina</t>
  </si>
  <si>
    <t xml:space="preserve">Ferro</t>
  </si>
  <si>
    <t xml:space="preserve">PMID 27346617</t>
  </si>
  <si>
    <t xml:space="preserve">Emoglobina / RDW</t>
  </si>
  <si>
    <t xml:space="preserve">Proteina C reattiva</t>
  </si>
  <si>
    <t xml:space="preserve">Infiammazione classica</t>
  </si>
  <si>
    <t xml:space="preserve">Neutrofili / Linfociti</t>
  </si>
  <si>
    <t xml:space="preserve">Linfociti</t>
  </si>
  <si>
    <t xml:space="preserve">Monociti / Linfociti</t>
  </si>
  <si>
    <t xml:space="preserve">Piastrine / Linfociti</t>
  </si>
  <si>
    <t xml:space="preserve">Systemic Inflammation Index</t>
  </si>
  <si>
    <t xml:space="preserve">PMID 36769776</t>
  </si>
  <si>
    <t xml:space="preserve">Systemic Inflammation Response Index</t>
  </si>
  <si>
    <t xml:space="preserve">Aggregate Index of Systemic Inflammation</t>
  </si>
  <si>
    <t xml:space="preserve">Xiu, PMID 37265570</t>
  </si>
  <si>
    <t xml:space="preserve">Monociti / HDL</t>
  </si>
  <si>
    <t xml:space="preserve">Gembillo, PMID 34109496</t>
  </si>
  <si>
    <t xml:space="preserve">MPV / Linfociti</t>
  </si>
  <si>
    <t xml:space="preserve">Korniluk, PMID 31148950</t>
  </si>
  <si>
    <t xml:space="preserve">MPV / Piastrine</t>
  </si>
  <si>
    <t xml:space="preserve">Le soglie in rosso sono quelle che cambiano fra uomo e donna. Sono 20 indici su 43.</t>
  </si>
  <si>
    <t xml:space="preserve">A queste si aggiungono tre formule il cui calcolo stesso cambia per sesso: Visceral Adiposity Index (tutti i coefficienti), percentuale di grasso corporeo (termine sesso), peso ideale di Lorenz (denominatore) e frequenza cardiaca massima (Tanaka nell'uomo, Gulati nella donna).</t>
  </si>
  <si>
    <t xml:space="preserve">03 - Indici calcolati</t>
  </si>
  <si>
    <t xml:space="preserve">Tutto e calcolato dal foglio 01 con le soglie del foglio 02 secondo il sesso indicato. 'n.d.' significa che manca almeno un dato: quell'indice non entra nel punteggio.</t>
  </si>
  <si>
    <t xml:space="preserve">Min</t>
  </si>
  <si>
    <t xml:space="preserve">Max</t>
  </si>
  <si>
    <t xml:space="preserve">Stato</t>
  </si>
  <si>
    <t xml:space="preserve">Punt.
0-3</t>
  </si>
  <si>
    <t xml:space="preserve">Contrib.</t>
  </si>
  <si>
    <t xml:space="preserve">Gruppo</t>
  </si>
  <si>
    <t xml:space="preserve">Peso 0 di proposito: e l'indice che assolve i corpi in disordine. Serve come contesto, non come giudizio.</t>
  </si>
  <si>
    <t xml:space="preserve">-</t>
  </si>
  <si>
    <t xml:space="preserve">La regola aurea vale per entrambi i sessi: la vita deve misurare meno della meta dell'altezza. E il primo indice da guardare.</t>
  </si>
  <si>
    <t xml:space="preserve">Soglia diversa per sesso: 0,90 nell'uomo, 0,85 nella donna.</t>
  </si>
  <si>
    <t xml:space="preserve">Quanto il tronco si allontana dal cilindro. Soglia piu bassa nella donna.</t>
  </si>
  <si>
    <t xml:space="preserve">STIMA derivata dal BMI, con errore di alcuni punti percentuali. La formula ha un termine per il sesso e le soglie sono molto diverse fra uomo e donna.</t>
  </si>
  <si>
    <t xml:space="preserve">Peso ridotto a 1: sovrastima nei soggetti magri con fianchi normali. Non usa mai il peso: utile quando diverge dalla stima basata sul BMI. Fasce di normalita molto diverse per sesso.</t>
  </si>
  <si>
    <t xml:space="preserve">Soglia indicativa, piu bassa nella donna.</t>
  </si>
  <si>
    <t xml:space="preserve">Isola la forma corporea depurata da peso e BMI. Se il laboratorio fornisce lo z-score, inseriscilo nel foglio 01: e piu preciso di questa soglia grezza.</t>
  </si>
  <si>
    <t xml:space="preserve">Soglia 34 cm nell'uomo, 33 nella donna. Nessuna correzione per BMI: quella usata da alcuni referti non e pubblicata e sposta la diagnosi di sarcopenia.</t>
  </si>
  <si>
    <t xml:space="preserve">Denominatore diverso per sesso. Indicativo: e una convenzione, non una misura.</t>
  </si>
  <si>
    <t xml:space="preserve">Fasce diverse per sesso. Dentro la fascia = normolineo; sotto = brevilineo; sopra = longilineo.</t>
  </si>
  <si>
    <t xml:space="preserve">Qui si usa la formula classica (SBP+2xDBP)/3. Alcuni referti usano DBP+0,4xPP, che da un valore piu alto: se confronti con un referto, verifica quale delle due ha usato.</t>
  </si>
  <si>
    <t xml:space="preserve">Marcatore di rigidita dei grossi vasi e di invecchiamento vascolare.</t>
  </si>
  <si>
    <t xml:space="preserve">Sopra 80 bpm il rischio cambia scala. Soglia leggermente piu alta nella donna.</t>
  </si>
  <si>
    <t xml:space="preserve">Attenzione all'artefatto: migliora abbassando il basale, senza che il cuore cambi.</t>
  </si>
  <si>
    <t xml:space="preserve">Va calcolato sulla pressione MEDIA, non sulla sistolica.</t>
  </si>
  <si>
    <t xml:space="preserve">bpm*mmHg</t>
  </si>
  <si>
    <t xml:space="preserve">Surrogato del consumo miocardico di ossigeno. Tre mesi di esercizio supervisionato lo abbassano di circa il 19%.</t>
  </si>
  <si>
    <t xml:space="preserve">L/min</t>
  </si>
  <si>
    <t xml:space="preserve">Richiede la gittata sistolica, spesso non disponibile.</t>
  </si>
  <si>
    <t xml:space="preserve">L/min/m2</t>
  </si>
  <si>
    <t xml:space="preserve">Soglia 40 nell'uomo, 50 nella donna. Compare come denominatore in quattro indici di questo foglio.</t>
  </si>
  <si>
    <t xml:space="preserve">Costante di sottrazione diversa per sesso (65 cm uomo, 58 donna) e cut-off diverso. Riconosce il rischio cardiovascolare meglio del BMI.</t>
  </si>
  <si>
    <t xml:space="preserve">Da calcolare in mmol/L: con i mg/dL il numero non ha rapporto con il cut-off. Soglia piu bassa nella donna.</t>
  </si>
  <si>
    <t xml:space="preserve">FORMULA COMPLETAMENTE DIVERSA PER SESSO: tutti e tre i gruppi di coefficienti cambiano. Misura la funzione del tessuto adiposo, non la sua quantita.</t>
  </si>
  <si>
    <t xml:space="preserve">Intervalli molto diversi per sesso.</t>
  </si>
  <si>
    <t xml:space="preserve">Soglia piu bassa nella donna, coerente con l'uricemia piu bassa.</t>
  </si>
  <si>
    <t xml:space="preserve">Finestra desiderabile molto piu stretta del riferimento tollerato: 5,0-7,2 uM.</t>
  </si>
  <si>
    <t xml:space="preserve">Il marcatore piu informativo dello stato marziale reale. TIBC ricavata dalla transferrina con il fattore stechiometrico esatto (mg/dL x 1,404 = ug/dL), non con la regola pratica dell'1,25 che sottostima la capacita legante di circa il 12%.</t>
  </si>
  <si>
    <t xml:space="preserve">INTERVALLI MOLTO DIVERSI PER SESSO. Da non leggere da sola se la PCR e alterata: il foglio 01 lo segnala.</t>
  </si>
  <si>
    <t xml:space="preserve">Soglia di anemia 13 g/dL nell'uomo, 12 nella donna.</t>
  </si>
  <si>
    <t xml:space="preserve">Cala quando il midollo produce eritrociti di taglia irregolare.</t>
  </si>
  <si>
    <t xml:space="preserve">Peso 0: esame giusto per la domanda sbagliata. Intercetta l'infiammazione acuta, non quella cronica di basso grado. Serve pero a dire se la ferritina e leggibile.</t>
  </si>
  <si>
    <t xml:space="preserve">Peso 0, stesso limite della PCR. Intervallo piu ampio nella donna.</t>
  </si>
  <si>
    <t xml:space="preserve">L'infiammazione cronica alza l'immunita innata e abbassa i linfociti: il rapporto lo vede anche quando i due valori assoluti sono normali.</t>
  </si>
  <si>
    <t xml:space="preserve">Associato a mortalita totale e cardiovascolare su 42.875 adulti seguiti vent'anni.</t>
  </si>
  <si>
    <t xml:space="preserve">Soglia indicativa. Lo 0,68 usato da alcuni referti e un percentile basso e segnala anche emocromi del tutto normali: qui si usa un valore piu prudente. Taralo sul tuo laboratorio.</t>
  </si>
  <si>
    <t xml:space="preserve">Nel quartile piu alto il rischio di mortalita cardiovascolare quasi raddoppia (HR 1,91).</t>
  </si>
  <si>
    <t xml:space="preserve">per mille</t>
  </si>
  <si>
    <t xml:space="preserve">Mette in relazione chi accende l'infiammazione e chi dovrebbe spegnerla: le HDL ostacolano il reclutamento dei monociti nella parete arteriosa.</t>
  </si>
  <si>
    <t xml:space="preserve">04 - Punteggio globale</t>
  </si>
  <si>
    <t xml:space="preserve">Il punteggio non somma i singoli indici: li raggruppa per misura di origine e prende la media di ciascun gruppo, cosi una sola misura alterata non conta piu volte.</t>
  </si>
  <si>
    <t xml:space="preserve">PUNTEGGIO GLOBALE</t>
  </si>
  <si>
    <t xml:space="preserve">Scala 0-100. Fasce: sotto 15 basso | 15-35 lieve | 35-55 moderato | 55-75 elevato | 75 e oltre alto. Sotto il 40% di copertura la fascia non viene assegnata. Taratura verificata su profili di prova: un profilo sano da circa 2, uno marcatamente alterato circa 85. Resta una sintesi di orientamento, non uno score clinico validato.</t>
  </si>
  <si>
    <t xml:space="preserve">COMPLETEZZA DEI DATI</t>
  </si>
  <si>
    <t xml:space="preserve">Indici calcolabili con i dati inseriti</t>
  </si>
  <si>
    <t xml:space="preserve">Indici non calcolabili (dati mancanti)</t>
  </si>
  <si>
    <t xml:space="preserve">Copertura</t>
  </si>
  <si>
    <t xml:space="preserve">Sotto il 50% di copertura il punteggio va letto con molta cautela: misura solo la parte di quadro che i dati inseriti coprono.</t>
  </si>
  <si>
    <t xml:space="preserve">Indici fuori intervallo</t>
  </si>
  <si>
    <t xml:space="preserve">Indici in zona di guardia</t>
  </si>
  <si>
    <t xml:space="preserve">COME SI FORMA IL PUNTEGGIO: contributo per gruppo di misura</t>
  </si>
  <si>
    <t xml:space="preserve">Gruppo (misura di origine)</t>
  </si>
  <si>
    <t xml:space="preserve">Indici
calcolati</t>
  </si>
  <si>
    <t xml:space="preserve">Somma
contributi</t>
  </si>
  <si>
    <t xml:space="preserve">Contributo
medio</t>
  </si>
  <si>
    <t xml:space="preserve">Massimo
del gruppo</t>
  </si>
  <si>
    <t xml:space="preserve">TOTALE</t>
  </si>
  <si>
    <t xml:space="preserve">Il punteggio globale in cima e il rapporto fra queste due somme.</t>
  </si>
  <si>
    <t xml:space="preserve">Perche la media e non la somma</t>
  </si>
  <si>
    <t xml:space="preserve">Molti indici nascono dalla stessa misura: la sola circonferenza vita ne alimenta sei, il solo valore dei linfociti ne alimenta sette. Sommando i contributi, un paziente con un unico dato alterato riceverebbe un punteggio molto piu alto di quanto quel dato giustifichi. Raggruppando per misura di origine e prendendo la media di ogni gruppo, ogni misura pesa una volta sola, e il punteggio sale davvero solo quando sono alterate cose diverse fra loro.</t>
  </si>
  <si>
    <t xml:space="preserve">SEGNALAZIONI</t>
  </si>
  <si>
    <t xml:space="preserve">Fenotipo TOFI (normopeso con obesita centrale)</t>
  </si>
  <si>
    <t xml:space="preserve">BMI sotto 25 con vita oltre meta dell'altezza. La mortalita cardiovascolare supera quella dell'obeso con distribuzione periferica (PMID 26551006).</t>
  </si>
  <si>
    <t xml:space="preserve">Con PCR alterata la ferritina misura anche l'infiammazione: va letta insieme alla saturazione della transferrina.</t>
  </si>
  <si>
    <t xml:space="preserve">Pattern di ferro non disponibile</t>
  </si>
  <si>
    <t xml:space="preserve">Saturazione sotto il 20% con depositi non esauriti: il ferro c'e ma non arriva. In questo quadro la sola supplementazione marziale e spesso inefficace, la leva e la causa infiammatoria (PMID 30401705).</t>
  </si>
  <si>
    <t xml:space="preserve">Infiammazione cronica con indici classici negativi</t>
  </si>
  <si>
    <t xml:space="preserve">PCR normale ma SIRI oltre soglia: e la situazione che PCR e VES non vedono.</t>
  </si>
  <si>
    <t xml:space="preserve">Sospetta apnea del sonno da approfondire</t>
  </si>
  <si>
    <t xml:space="preserve">Domanda che non compare in nessun referto e che va posta a voce.</t>
  </si>
  <si>
    <t xml:space="preserve">Sarcopenia da approfondire</t>
  </si>
  <si>
    <t xml:space="preserve">Soglia 34 cm nell'uomo, 33 nella donna. Il polpaccio e un surrogato: la conferma richiede dinamometria o composizione corporea.</t>
  </si>
  <si>
    <t xml:space="preserve">05 - Andamento nel tempo</t>
  </si>
  <si>
    <t xml:space="preserve">Riporta qui a mano i valori di ogni controllo. Diverse evidenze valgono sulla persistenza del dato, non su una misurazione isolata.</t>
  </si>
  <si>
    <t xml:space="preserve">Parametro</t>
  </si>
  <si>
    <t xml:space="preserve">Basale</t>
  </si>
  <si>
    <t xml:space="preserve">Controllo 1</t>
  </si>
  <si>
    <t xml:space="preserve">Controllo 2</t>
  </si>
  <si>
    <t xml:space="preserve">Controllo 3</t>
  </si>
  <si>
    <t xml:space="preserve">Controllo 4</t>
  </si>
  <si>
    <t xml:space="preserve">Variazione</t>
  </si>
  <si>
    <t xml:space="preserve">Data</t>
  </si>
  <si>
    <t xml:space="preserve">Compila con la data di ciascun controllo</t>
  </si>
  <si>
    <t xml:space="preserve">Punteggio globale</t>
  </si>
  <si>
    <t xml:space="preserve">Copia il valore del foglio 04 a ogni controllo</t>
  </si>
  <si>
    <t xml:space="preserve">Peso (kg)</t>
  </si>
  <si>
    <t xml:space="preserve">Circonferenza vita (cm)</t>
  </si>
  <si>
    <t xml:space="preserve">La misura che si muove per prima con l'esercizio contro resistenza, spesso prima del peso</t>
  </si>
  <si>
    <t xml:space="preserve">Obiettivo: sotto 0,50</t>
  </si>
  <si>
    <t xml:space="preserve">Frequenza cardiaca a riposo (bpm)</t>
  </si>
  <si>
    <t xml:space="preserve">Va confermata su piu misurazioni: l'HR 1,86 di Kailuan vale sulla persistenza sopra 80 bpm, non su un singolo prelievo</t>
  </si>
  <si>
    <t xml:space="preserve">Pressione sistolica (mmHg)</t>
  </si>
  <si>
    <t xml:space="preserve">HDL (mg/dL)</t>
  </si>
  <si>
    <t xml:space="preserve">Denominatore di quattro indici: si muove lentamente ma sposta molto</t>
  </si>
  <si>
    <t xml:space="preserve">Trigliceridi (mg/dL)</t>
  </si>
  <si>
    <t xml:space="preserve">Saturazione transferrina (%)</t>
  </si>
  <si>
    <t xml:space="preserve">Da rivalutare a tre mesi, meglio se insieme al contenuto emoglobinico reticolocitario</t>
  </si>
  <si>
    <t xml:space="preserve">Ferritina (ug/L)</t>
  </si>
  <si>
    <t xml:space="preserve">PCR (mg/dL)</t>
  </si>
  <si>
    <t xml:space="preserve">SIRI</t>
  </si>
  <si>
    <t xml:space="preserve">Fra gli indici infiammatori e quello con lo scostamento piu leggibile</t>
  </si>
  <si>
    <t xml:space="preserve">La cessazione migliora la frequenza e la variabilita gia nelle prime settimane, ma il recupero pieno e piu lento</t>
  </si>
  <si>
    <t xml:space="preserve">La colonna 'Variazione' confronta l'ultimo controllo compilato con il basale.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</si>
</sst>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"/>
    <numFmt numFmtId="167" formatCode="0.0000"/>
    <numFmt numFmtId="168" formatCode="0"/>
    <numFmt numFmtId="169" formatCode="#,##0"/>
    <numFmt numFmtId="170" formatCode="0%"/>
    <numFmt numFmtId="171" formatCode="General"/>
    <numFmt numFmtId="172" formatCode="\+0.0;\-0.0"/>
    <numFmt numFmtId="173" formatCode="\+0.00;\-0.00"/>
    <numFmt numFmtId="174" formatCode="\+0;\-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28"/>
      <color rgb="FFC00000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2F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color rgb="FFA6A6A6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39" hidden="false" customHeight="tru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/>
      <c r="B6" s="4"/>
    </row>
    <row r="7" customFormat="false" ht="51.75" hidden="false" customHeight="true" outlineLevel="0" collapsed="false">
      <c r="A7" s="5" t="s">
        <v>4</v>
      </c>
      <c r="B7" s="4" t="s">
        <v>5</v>
      </c>
    </row>
    <row r="8" customFormat="false" ht="15" hidden="false" customHeight="false" outlineLevel="0" collapsed="false">
      <c r="A8" s="3"/>
      <c r="B8" s="4"/>
    </row>
    <row r="9" customFormat="false" ht="51.75" hidden="false" customHeight="true" outlineLevel="0" collapsed="false">
      <c r="A9" s="3" t="s">
        <v>6</v>
      </c>
      <c r="B9" s="4" t="s">
        <v>7</v>
      </c>
    </row>
    <row r="10" customFormat="false" ht="15" hidden="false" customHeight="false" outlineLevel="0" collapsed="false">
      <c r="A10" s="3"/>
      <c r="B10" s="4"/>
    </row>
    <row r="11" customFormat="false" ht="39" hidden="false" customHeight="true" outlineLevel="0" collapsed="false">
      <c r="A11" s="3" t="s">
        <v>8</v>
      </c>
      <c r="B11" s="4" t="s">
        <v>9</v>
      </c>
    </row>
    <row r="12" customFormat="false" ht="15" hidden="false" customHeight="false" outlineLevel="0" collapsed="false">
      <c r="A12" s="3"/>
      <c r="B12" s="4"/>
    </row>
    <row r="13" customFormat="false" ht="51.75" hidden="false" customHeight="true" outlineLevel="0" collapsed="false">
      <c r="A13" s="5" t="s">
        <v>10</v>
      </c>
      <c r="B13" s="4" t="s">
        <v>11</v>
      </c>
    </row>
    <row r="14" customFormat="false" ht="15" hidden="false" customHeight="false" outlineLevel="0" collapsed="false">
      <c r="A14" s="3"/>
      <c r="B14" s="4"/>
    </row>
    <row r="15" customFormat="false" ht="51.75" hidden="false" customHeight="true" outlineLevel="0" collapsed="false">
      <c r="A15" s="3" t="s">
        <v>12</v>
      </c>
      <c r="B15" s="4" t="s">
        <v>13</v>
      </c>
    </row>
    <row r="16" customFormat="false" ht="15" hidden="false" customHeight="false" outlineLevel="0" collapsed="false">
      <c r="A16" s="3"/>
      <c r="B16" s="4"/>
    </row>
    <row r="17" customFormat="false" ht="51.75" hidden="false" customHeight="true" outlineLevel="0" collapsed="false">
      <c r="A17" s="3" t="s">
        <v>14</v>
      </c>
      <c r="B17" s="4" t="s">
        <v>15</v>
      </c>
    </row>
    <row r="18" customFormat="false" ht="15" hidden="false" customHeight="false" outlineLevel="0" collapsed="false">
      <c r="A18" s="3"/>
      <c r="B18" s="4"/>
    </row>
    <row r="19" customFormat="false" ht="39" hidden="false" customHeight="true" outlineLevel="0" collapsed="false">
      <c r="A19" s="3" t="s">
        <v>16</v>
      </c>
      <c r="B19" s="4" t="s">
        <v>17</v>
      </c>
    </row>
    <row r="20" customFormat="false" ht="15" hidden="false" customHeight="false" outlineLevel="0" collapsed="false">
      <c r="A20" s="3"/>
      <c r="B20" s="4"/>
    </row>
    <row r="21" customFormat="false" ht="15" hidden="false" customHeight="true" outlineLevel="0" collapsed="false">
      <c r="A21" s="3" t="s">
        <v>18</v>
      </c>
      <c r="B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30" hidden="false" customHeight="tru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</row>
    <row r="5" customFormat="false" ht="15" hidden="false" customHeight="false" outlineLevel="0" collapsed="false">
      <c r="A5" s="7" t="s">
        <v>27</v>
      </c>
      <c r="B5" s="8"/>
      <c r="C5" s="8"/>
      <c r="D5" s="8"/>
      <c r="E5" s="8"/>
    </row>
    <row r="6" customFormat="false" ht="15.75" hidden="false" customHeight="true" outlineLevel="0" collapsed="false">
      <c r="A6" s="9" t="s">
        <v>28</v>
      </c>
      <c r="B6" s="10"/>
      <c r="C6" s="11"/>
      <c r="D6" s="11" t="s">
        <v>29</v>
      </c>
      <c r="E6" s="12" t="s">
        <v>30</v>
      </c>
    </row>
    <row r="7" customFormat="false" ht="15.75" hidden="false" customHeight="true" outlineLevel="0" collapsed="false">
      <c r="A7" s="9" t="s">
        <v>31</v>
      </c>
      <c r="B7" s="10"/>
      <c r="C7" s="11" t="s">
        <v>32</v>
      </c>
      <c r="D7" s="11" t="s">
        <v>29</v>
      </c>
      <c r="E7" s="12" t="s">
        <v>33</v>
      </c>
    </row>
    <row r="8" customFormat="false" ht="15.75" hidden="false" customHeight="true" outlineLevel="0" collapsed="false">
      <c r="A8" s="9" t="s">
        <v>34</v>
      </c>
      <c r="B8" s="10" t="s">
        <v>35</v>
      </c>
      <c r="C8" s="11" t="s">
        <v>36</v>
      </c>
      <c r="D8" s="11" t="s">
        <v>29</v>
      </c>
      <c r="E8" s="12" t="s">
        <v>37</v>
      </c>
    </row>
    <row r="9" customFormat="false" ht="15.75" hidden="false" customHeight="true" outlineLevel="0" collapsed="false">
      <c r="A9" s="9" t="s">
        <v>38</v>
      </c>
      <c r="B9" s="10"/>
      <c r="C9" s="11" t="s">
        <v>39</v>
      </c>
      <c r="D9" s="11" t="s">
        <v>29</v>
      </c>
      <c r="E9" s="12"/>
    </row>
    <row r="11" customFormat="false" ht="15" hidden="false" customHeight="false" outlineLevel="0" collapsed="false">
      <c r="A11" s="7" t="s">
        <v>40</v>
      </c>
      <c r="B11" s="8"/>
      <c r="C11" s="8"/>
      <c r="D11" s="8"/>
      <c r="E11" s="8"/>
    </row>
    <row r="12" customFormat="false" ht="15.75" hidden="false" customHeight="true" outlineLevel="0" collapsed="false">
      <c r="A12" s="9" t="s">
        <v>41</v>
      </c>
      <c r="B12" s="10"/>
      <c r="C12" s="11" t="s">
        <v>42</v>
      </c>
      <c r="D12" s="11" t="s">
        <v>29</v>
      </c>
      <c r="E12" s="12"/>
    </row>
    <row r="13" customFormat="false" ht="15.75" hidden="false" customHeight="true" outlineLevel="0" collapsed="false">
      <c r="A13" s="9" t="s">
        <v>43</v>
      </c>
      <c r="B13" s="10"/>
      <c r="C13" s="11" t="s">
        <v>44</v>
      </c>
      <c r="D13" s="11" t="s">
        <v>29</v>
      </c>
      <c r="E13" s="12"/>
    </row>
    <row r="14" customFormat="false" ht="25.5" hidden="false" customHeight="true" outlineLevel="0" collapsed="false">
      <c r="A14" s="9" t="s">
        <v>45</v>
      </c>
      <c r="B14" s="10"/>
      <c r="C14" s="11" t="s">
        <v>44</v>
      </c>
      <c r="D14" s="11" t="s">
        <v>29</v>
      </c>
      <c r="E14" s="12" t="s">
        <v>46</v>
      </c>
    </row>
    <row r="15" customFormat="false" ht="15.75" hidden="false" customHeight="true" outlineLevel="0" collapsed="false">
      <c r="A15" s="9" t="s">
        <v>47</v>
      </c>
      <c r="B15" s="13"/>
      <c r="C15" s="11" t="s">
        <v>44</v>
      </c>
      <c r="D15" s="11" t="s">
        <v>48</v>
      </c>
      <c r="E15" s="12" t="s">
        <v>49</v>
      </c>
    </row>
    <row r="16" customFormat="false" ht="15.75" hidden="false" customHeight="true" outlineLevel="0" collapsed="false">
      <c r="A16" s="9" t="s">
        <v>50</v>
      </c>
      <c r="B16" s="13"/>
      <c r="C16" s="11" t="s">
        <v>44</v>
      </c>
      <c r="D16" s="11" t="s">
        <v>48</v>
      </c>
      <c r="E16" s="12" t="s">
        <v>51</v>
      </c>
    </row>
    <row r="17" customFormat="false" ht="15.75" hidden="false" customHeight="true" outlineLevel="0" collapsed="false">
      <c r="A17" s="9" t="s">
        <v>52</v>
      </c>
      <c r="B17" s="13"/>
      <c r="C17" s="11" t="s">
        <v>44</v>
      </c>
      <c r="D17" s="11" t="s">
        <v>48</v>
      </c>
      <c r="E17" s="12" t="s">
        <v>53</v>
      </c>
    </row>
    <row r="19" customFormat="false" ht="15" hidden="false" customHeight="false" outlineLevel="0" collapsed="false">
      <c r="A19" s="7" t="s">
        <v>54</v>
      </c>
      <c r="B19" s="8"/>
      <c r="C19" s="8"/>
      <c r="D19" s="8"/>
      <c r="E19" s="8"/>
    </row>
    <row r="20" customFormat="false" ht="15.75" hidden="false" customHeight="true" outlineLevel="0" collapsed="false">
      <c r="A20" s="9" t="s">
        <v>55</v>
      </c>
      <c r="B20" s="13"/>
      <c r="C20" s="11" t="s">
        <v>56</v>
      </c>
      <c r="D20" s="11" t="s">
        <v>48</v>
      </c>
      <c r="E20" s="12"/>
    </row>
    <row r="21" customFormat="false" ht="15.75" hidden="false" customHeight="true" outlineLevel="0" collapsed="false">
      <c r="A21" s="9" t="s">
        <v>57</v>
      </c>
      <c r="B21" s="13"/>
      <c r="C21" s="11" t="s">
        <v>56</v>
      </c>
      <c r="D21" s="11" t="s">
        <v>48</v>
      </c>
      <c r="E21" s="12"/>
    </row>
    <row r="22" customFormat="false" ht="15.75" hidden="false" customHeight="true" outlineLevel="0" collapsed="false">
      <c r="A22" s="9" t="s">
        <v>58</v>
      </c>
      <c r="B22" s="13"/>
      <c r="C22" s="11" t="s">
        <v>59</v>
      </c>
      <c r="D22" s="11" t="s">
        <v>48</v>
      </c>
      <c r="E22" s="12" t="s">
        <v>60</v>
      </c>
    </row>
    <row r="23" customFormat="false" ht="15.75" hidden="false" customHeight="true" outlineLevel="0" collapsed="false">
      <c r="A23" s="9" t="s">
        <v>61</v>
      </c>
      <c r="B23" s="13"/>
      <c r="C23" s="11" t="s">
        <v>62</v>
      </c>
      <c r="D23" s="11" t="s">
        <v>48</v>
      </c>
      <c r="E23" s="12" t="s">
        <v>63</v>
      </c>
    </row>
    <row r="25" customFormat="false" ht="15" hidden="false" customHeight="false" outlineLevel="0" collapsed="false">
      <c r="A25" s="7" t="s">
        <v>64</v>
      </c>
      <c r="B25" s="8"/>
      <c r="C25" s="8"/>
      <c r="D25" s="8"/>
      <c r="E25" s="8"/>
    </row>
    <row r="26" customFormat="false" ht="15.75" hidden="false" customHeight="true" outlineLevel="0" collapsed="false">
      <c r="A26" s="9" t="s">
        <v>65</v>
      </c>
      <c r="B26" s="13"/>
      <c r="C26" s="11" t="s">
        <v>66</v>
      </c>
      <c r="D26" s="11" t="s">
        <v>48</v>
      </c>
      <c r="E26" s="12" t="s">
        <v>67</v>
      </c>
    </row>
    <row r="27" customFormat="false" ht="15.75" hidden="false" customHeight="true" outlineLevel="0" collapsed="false">
      <c r="A27" s="9" t="s">
        <v>68</v>
      </c>
      <c r="B27" s="13"/>
      <c r="C27" s="11" t="s">
        <v>66</v>
      </c>
      <c r="D27" s="11" t="s">
        <v>48</v>
      </c>
      <c r="E27" s="12"/>
    </row>
    <row r="28" customFormat="false" ht="15.75" hidden="false" customHeight="true" outlineLevel="0" collapsed="false">
      <c r="A28" s="9" t="s">
        <v>69</v>
      </c>
      <c r="B28" s="13"/>
      <c r="C28" s="11" t="s">
        <v>66</v>
      </c>
      <c r="D28" s="11" t="s">
        <v>48</v>
      </c>
      <c r="E28" s="12"/>
    </row>
    <row r="29" customFormat="false" ht="15.75" hidden="false" customHeight="true" outlineLevel="0" collapsed="false">
      <c r="A29" s="9" t="s">
        <v>70</v>
      </c>
      <c r="B29" s="13"/>
      <c r="C29" s="11" t="s">
        <v>71</v>
      </c>
      <c r="D29" s="11" t="s">
        <v>48</v>
      </c>
      <c r="E29" s="12"/>
    </row>
    <row r="31" customFormat="false" ht="15" hidden="false" customHeight="false" outlineLevel="0" collapsed="false">
      <c r="A31" s="7" t="s">
        <v>72</v>
      </c>
      <c r="B31" s="8"/>
      <c r="C31" s="8"/>
      <c r="D31" s="8"/>
      <c r="E31" s="8"/>
    </row>
    <row r="32" customFormat="false" ht="25.5" hidden="false" customHeight="true" outlineLevel="0" collapsed="false">
      <c r="A32" s="9" t="s">
        <v>73</v>
      </c>
      <c r="B32" s="13"/>
      <c r="C32" s="11" t="s">
        <v>74</v>
      </c>
      <c r="D32" s="11" t="s">
        <v>48</v>
      </c>
      <c r="E32" s="12" t="s">
        <v>75</v>
      </c>
    </row>
    <row r="33" customFormat="false" ht="15.75" hidden="false" customHeight="true" outlineLevel="0" collapsed="false">
      <c r="A33" s="9" t="s">
        <v>76</v>
      </c>
      <c r="B33" s="13"/>
      <c r="C33" s="11" t="s">
        <v>66</v>
      </c>
      <c r="D33" s="11" t="s">
        <v>48</v>
      </c>
      <c r="E33" s="12"/>
    </row>
    <row r="34" customFormat="false" ht="15.75" hidden="false" customHeight="true" outlineLevel="0" collapsed="false">
      <c r="A34" s="9" t="s">
        <v>77</v>
      </c>
      <c r="B34" s="13"/>
      <c r="C34" s="11" t="s">
        <v>78</v>
      </c>
      <c r="D34" s="11" t="s">
        <v>48</v>
      </c>
      <c r="E34" s="12" t="s">
        <v>79</v>
      </c>
    </row>
    <row r="36" customFormat="false" ht="15" hidden="false" customHeight="false" outlineLevel="0" collapsed="false">
      <c r="A36" s="7" t="s">
        <v>80</v>
      </c>
      <c r="B36" s="8"/>
      <c r="C36" s="8"/>
      <c r="D36" s="8"/>
      <c r="E36" s="8"/>
    </row>
    <row r="37" customFormat="false" ht="15.75" hidden="false" customHeight="true" outlineLevel="0" collapsed="false">
      <c r="A37" s="9" t="s">
        <v>81</v>
      </c>
      <c r="B37" s="13"/>
      <c r="C37" s="11" t="s">
        <v>66</v>
      </c>
      <c r="D37" s="11" t="s">
        <v>48</v>
      </c>
      <c r="E37" s="12" t="s">
        <v>82</v>
      </c>
    </row>
    <row r="38" customFormat="false" ht="15.75" hidden="false" customHeight="true" outlineLevel="0" collapsed="false">
      <c r="A38" s="9" t="s">
        <v>83</v>
      </c>
      <c r="B38" s="13"/>
      <c r="C38" s="11" t="s">
        <v>84</v>
      </c>
      <c r="D38" s="11" t="s">
        <v>48</v>
      </c>
      <c r="E38" s="12"/>
    </row>
    <row r="39" customFormat="false" ht="15.75" hidden="false" customHeight="true" outlineLevel="0" collapsed="false">
      <c r="A39" s="9" t="s">
        <v>85</v>
      </c>
      <c r="B39" s="13"/>
      <c r="C39" s="11" t="s">
        <v>86</v>
      </c>
      <c r="D39" s="11" t="s">
        <v>48</v>
      </c>
      <c r="E39" s="12"/>
    </row>
    <row r="40" customFormat="false" ht="15.75" hidden="false" customHeight="true" outlineLevel="0" collapsed="false">
      <c r="A40" s="9" t="s">
        <v>87</v>
      </c>
      <c r="B40" s="13"/>
      <c r="C40" s="11" t="s">
        <v>88</v>
      </c>
      <c r="D40" s="11" t="s">
        <v>48</v>
      </c>
      <c r="E40" s="12"/>
    </row>
    <row r="41" customFormat="false" ht="15.75" hidden="false" customHeight="true" outlineLevel="0" collapsed="false">
      <c r="A41" s="9" t="s">
        <v>89</v>
      </c>
      <c r="B41" s="13"/>
      <c r="C41" s="11" t="s">
        <v>90</v>
      </c>
      <c r="D41" s="11" t="s">
        <v>48</v>
      </c>
      <c r="E41" s="12"/>
    </row>
    <row r="42" customFormat="false" ht="15.75" hidden="false" customHeight="true" outlineLevel="0" collapsed="false">
      <c r="A42" s="9" t="s">
        <v>91</v>
      </c>
      <c r="B42" s="13"/>
      <c r="C42" s="11" t="s">
        <v>92</v>
      </c>
      <c r="D42" s="11" t="s">
        <v>48</v>
      </c>
      <c r="E42" s="12"/>
    </row>
    <row r="43" customFormat="false" ht="15.75" hidden="false" customHeight="true" outlineLevel="0" collapsed="false">
      <c r="A43" s="9" t="s">
        <v>93</v>
      </c>
      <c r="B43" s="13"/>
      <c r="C43" s="11" t="s">
        <v>90</v>
      </c>
      <c r="D43" s="11" t="s">
        <v>48</v>
      </c>
      <c r="E43" s="12" t="s">
        <v>94</v>
      </c>
    </row>
    <row r="44" customFormat="false" ht="15.75" hidden="false" customHeight="true" outlineLevel="0" collapsed="false">
      <c r="A44" s="9" t="s">
        <v>95</v>
      </c>
      <c r="B44" s="13"/>
      <c r="C44" s="11" t="s">
        <v>90</v>
      </c>
      <c r="D44" s="11" t="s">
        <v>48</v>
      </c>
      <c r="E44" s="12" t="s">
        <v>96</v>
      </c>
    </row>
    <row r="45" customFormat="false" ht="15.75" hidden="false" customHeight="true" outlineLevel="0" collapsed="false">
      <c r="A45" s="9" t="s">
        <v>97</v>
      </c>
      <c r="B45" s="13"/>
      <c r="C45" s="11" t="s">
        <v>90</v>
      </c>
      <c r="D45" s="11" t="s">
        <v>48</v>
      </c>
      <c r="E45" s="12" t="s">
        <v>98</v>
      </c>
    </row>
    <row r="47" customFormat="false" ht="15" hidden="false" customHeight="false" outlineLevel="0" collapsed="false">
      <c r="A47" s="7" t="s">
        <v>99</v>
      </c>
      <c r="B47" s="8"/>
      <c r="C47" s="8"/>
      <c r="D47" s="8"/>
      <c r="E47" s="8"/>
    </row>
    <row r="48" customFormat="false" ht="25.5" hidden="false" customHeight="true" outlineLevel="0" collapsed="false">
      <c r="A48" s="9" t="s">
        <v>100</v>
      </c>
      <c r="B48" s="13"/>
      <c r="C48" s="11" t="s">
        <v>101</v>
      </c>
      <c r="D48" s="11" t="s">
        <v>48</v>
      </c>
      <c r="E48" s="12" t="s">
        <v>102</v>
      </c>
    </row>
    <row r="49" customFormat="false" ht="15.75" hidden="false" customHeight="true" outlineLevel="0" collapsed="false">
      <c r="A49" s="9" t="s">
        <v>103</v>
      </c>
      <c r="B49" s="13"/>
      <c r="C49" s="11" t="s">
        <v>104</v>
      </c>
      <c r="D49" s="11" t="s">
        <v>48</v>
      </c>
      <c r="E49" s="12" t="s">
        <v>105</v>
      </c>
    </row>
    <row r="50" customFormat="false" ht="15.75" hidden="false" customHeight="true" outlineLevel="0" collapsed="false">
      <c r="A50" s="9" t="s">
        <v>106</v>
      </c>
      <c r="B50" s="13"/>
      <c r="C50" s="11" t="s">
        <v>39</v>
      </c>
      <c r="D50" s="11" t="s">
        <v>48</v>
      </c>
      <c r="E50" s="12"/>
    </row>
    <row r="51" customFormat="false" ht="15.75" hidden="false" customHeight="true" outlineLevel="0" collapsed="false">
      <c r="A51" s="9" t="s">
        <v>107</v>
      </c>
      <c r="B51" s="13"/>
      <c r="C51" s="11" t="s">
        <v>108</v>
      </c>
      <c r="D51" s="11" t="s">
        <v>48</v>
      </c>
      <c r="E51" s="12" t="s">
        <v>109</v>
      </c>
    </row>
    <row r="52" customFormat="false" ht="15.75" hidden="false" customHeight="true" outlineLevel="0" collapsed="false">
      <c r="A52" s="9" t="s">
        <v>110</v>
      </c>
      <c r="B52" s="13"/>
      <c r="C52" s="11" t="s">
        <v>108</v>
      </c>
      <c r="D52" s="11" t="s">
        <v>48</v>
      </c>
      <c r="E52" s="12" t="s">
        <v>111</v>
      </c>
    </row>
    <row r="54" customFormat="false" ht="15" hidden="false" customHeight="false" outlineLevel="0" collapsed="false">
      <c r="A54" s="7" t="s">
        <v>112</v>
      </c>
      <c r="B54" s="8"/>
      <c r="C54" s="8"/>
      <c r="D54" s="8"/>
      <c r="E54" s="8"/>
    </row>
    <row r="55" customFormat="false" ht="15.75" hidden="false" customHeight="true" outlineLevel="0" collapsed="false">
      <c r="A55" s="9" t="s">
        <v>113</v>
      </c>
      <c r="B55" s="14" t="str">
        <f aca="false">IF(OR('01 Paziente'!$B$12="",'01 Paziente'!$B$13=""),"",'01 Paziente'!$B$12/('01 Paziente'!$B$13/100)^2)</f>
        <v/>
      </c>
      <c r="C55" s="11" t="s">
        <v>114</v>
      </c>
      <c r="D55" s="11" t="s">
        <v>115</v>
      </c>
      <c r="E55" s="12" t="s">
        <v>116</v>
      </c>
    </row>
    <row r="56" customFormat="false" ht="15.75" hidden="false" customHeight="true" outlineLevel="0" collapsed="false">
      <c r="A56" s="9" t="s">
        <v>117</v>
      </c>
      <c r="B56" s="14" t="str">
        <f aca="false">IF(OR('01 Paziente'!$B$12="",'01 Paziente'!$B$13=""),"",SQRT('01 Paziente'!$B$13*'01 Paziente'!$B$12/3600))</f>
        <v/>
      </c>
      <c r="C56" s="11" t="s">
        <v>118</v>
      </c>
      <c r="D56" s="11" t="s">
        <v>115</v>
      </c>
      <c r="E56" s="12" t="s">
        <v>119</v>
      </c>
    </row>
    <row r="57" customFormat="false" ht="25.5" hidden="false" customHeight="true" outlineLevel="0" collapsed="false">
      <c r="A57" s="9" t="s">
        <v>120</v>
      </c>
      <c r="B57" s="14" t="str">
        <f aca="false">IF('01 Paziente'!$B$9="","",IF('01 Paziente'!$B$8="M",208-0.7*'01 Paziente'!$B$9,206-0.88*'01 Paziente'!$B$9))</f>
        <v/>
      </c>
      <c r="C57" s="11" t="s">
        <v>59</v>
      </c>
      <c r="D57" s="11" t="s">
        <v>115</v>
      </c>
      <c r="E57" s="12" t="s">
        <v>121</v>
      </c>
    </row>
    <row r="58" customFormat="false" ht="15.75" hidden="false" customHeight="true" outlineLevel="0" collapsed="false">
      <c r="A58" s="9" t="s">
        <v>122</v>
      </c>
      <c r="B58" s="14" t="n">
        <f aca="false">IF('01 Paziente'!$B$8="M",1,0)</f>
        <v>1</v>
      </c>
      <c r="C58" s="11" t="s">
        <v>123</v>
      </c>
      <c r="D58" s="11" t="s">
        <v>115</v>
      </c>
      <c r="E58" s="12" t="s">
        <v>124</v>
      </c>
    </row>
    <row r="59" customFormat="false" ht="25.5" hidden="false" customHeight="true" outlineLevel="0" collapsed="false">
      <c r="A59" s="9" t="s">
        <v>125</v>
      </c>
      <c r="B59" s="14" t="str">
        <f aca="false">IF('01 Paziente'!$B$37="","dato mancante",IF('01 Paziente'!$B$37&gt;0.5,"NO - infiammazione in atto","si"))</f>
        <v>dato mancante</v>
      </c>
      <c r="C59" s="11"/>
      <c r="D59" s="11" t="s">
        <v>115</v>
      </c>
      <c r="E59" s="12" t="s">
        <v>126</v>
      </c>
    </row>
  </sheetData>
  <dataValidations count="1">
    <dataValidation allowBlank="false" errorStyle="stop" operator="between" showDropDown="false" showErrorMessage="false" showInputMessage="false" sqref="B8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6" min="3" style="0" width="11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16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0" hidden="false" customHeight="true" outlineLevel="0" collapsed="false">
      <c r="A4" s="6" t="s">
        <v>129</v>
      </c>
      <c r="B4" s="6" t="s">
        <v>130</v>
      </c>
      <c r="C4" s="6" t="s">
        <v>131</v>
      </c>
      <c r="D4" s="6" t="s">
        <v>132</v>
      </c>
      <c r="E4" s="6" t="s">
        <v>133</v>
      </c>
      <c r="F4" s="6" t="s">
        <v>134</v>
      </c>
      <c r="G4" s="6" t="s">
        <v>135</v>
      </c>
      <c r="H4" s="6" t="s">
        <v>41</v>
      </c>
      <c r="I4" s="6" t="s">
        <v>136</v>
      </c>
      <c r="J4" s="6" t="s">
        <v>137</v>
      </c>
    </row>
    <row r="5" customFormat="false" ht="25.5" hidden="false" customHeight="true" outlineLevel="0" collapsed="false">
      <c r="A5" s="11" t="n">
        <v>1</v>
      </c>
      <c r="B5" s="15" t="s">
        <v>113</v>
      </c>
      <c r="C5" s="16" t="n">
        <v>18.5</v>
      </c>
      <c r="D5" s="16" t="n">
        <v>24.9</v>
      </c>
      <c r="E5" s="16" t="n">
        <v>18.5</v>
      </c>
      <c r="F5" s="16" t="n">
        <v>24.9</v>
      </c>
      <c r="G5" s="11" t="s">
        <v>138</v>
      </c>
      <c r="H5" s="17" t="n">
        <v>0</v>
      </c>
      <c r="I5" s="11" t="s">
        <v>139</v>
      </c>
      <c r="J5" s="18" t="s">
        <v>140</v>
      </c>
    </row>
    <row r="6" customFormat="false" ht="25.5" hidden="false" customHeight="true" outlineLevel="0" collapsed="false">
      <c r="A6" s="11" t="n">
        <v>2</v>
      </c>
      <c r="B6" s="15" t="s">
        <v>141</v>
      </c>
      <c r="C6" s="16" t="n">
        <v>0.3</v>
      </c>
      <c r="D6" s="16" t="n">
        <v>0.5</v>
      </c>
      <c r="E6" s="16" t="n">
        <v>0.3</v>
      </c>
      <c r="F6" s="16" t="n">
        <v>0.5</v>
      </c>
      <c r="G6" s="11" t="s">
        <v>142</v>
      </c>
      <c r="H6" s="17" t="n">
        <v>3</v>
      </c>
      <c r="I6" s="11" t="s">
        <v>143</v>
      </c>
      <c r="J6" s="18" t="s">
        <v>144</v>
      </c>
    </row>
    <row r="7" customFormat="false" ht="25.5" hidden="false" customHeight="true" outlineLevel="0" collapsed="false">
      <c r="A7" s="11" t="n">
        <v>3</v>
      </c>
      <c r="B7" s="15" t="s">
        <v>145</v>
      </c>
      <c r="C7" s="19" t="n">
        <v>0.7</v>
      </c>
      <c r="D7" s="19" t="n">
        <v>0.9</v>
      </c>
      <c r="E7" s="19" t="n">
        <v>0.7</v>
      </c>
      <c r="F7" s="19" t="n">
        <v>0.85</v>
      </c>
      <c r="G7" s="11" t="s">
        <v>142</v>
      </c>
      <c r="H7" s="17" t="n">
        <v>2</v>
      </c>
      <c r="I7" s="11" t="s">
        <v>143</v>
      </c>
      <c r="J7" s="18" t="s">
        <v>140</v>
      </c>
    </row>
    <row r="8" customFormat="false" ht="25.5" hidden="false" customHeight="true" outlineLevel="0" collapsed="false">
      <c r="A8" s="11" t="n">
        <v>4</v>
      </c>
      <c r="B8" s="15" t="s">
        <v>146</v>
      </c>
      <c r="C8" s="19" t="n">
        <v>1.1</v>
      </c>
      <c r="D8" s="19" t="n">
        <v>1.25</v>
      </c>
      <c r="E8" s="19" t="n">
        <v>1.05</v>
      </c>
      <c r="F8" s="19" t="n">
        <v>1.18</v>
      </c>
      <c r="G8" s="11" t="s">
        <v>142</v>
      </c>
      <c r="H8" s="17" t="n">
        <v>2</v>
      </c>
      <c r="I8" s="11" t="s">
        <v>143</v>
      </c>
      <c r="J8" s="18" t="s">
        <v>147</v>
      </c>
    </row>
    <row r="9" customFormat="false" ht="25.5" hidden="false" customHeight="true" outlineLevel="0" collapsed="false">
      <c r="A9" s="11" t="n">
        <v>5</v>
      </c>
      <c r="B9" s="15" t="s">
        <v>148</v>
      </c>
      <c r="C9" s="20" t="n">
        <v>8</v>
      </c>
      <c r="D9" s="20" t="n">
        <v>25</v>
      </c>
      <c r="E9" s="20" t="n">
        <v>20</v>
      </c>
      <c r="F9" s="20" t="n">
        <v>36</v>
      </c>
      <c r="G9" s="11" t="s">
        <v>142</v>
      </c>
      <c r="H9" s="17" t="n">
        <v>1</v>
      </c>
      <c r="I9" s="11" t="s">
        <v>139</v>
      </c>
      <c r="J9" s="18" t="s">
        <v>149</v>
      </c>
    </row>
    <row r="10" customFormat="false" ht="25.5" hidden="false" customHeight="true" outlineLevel="0" collapsed="false">
      <c r="A10" s="11" t="n">
        <v>6</v>
      </c>
      <c r="B10" s="15" t="s">
        <v>150</v>
      </c>
      <c r="C10" s="20" t="n">
        <v>8</v>
      </c>
      <c r="D10" s="20" t="n">
        <v>24</v>
      </c>
      <c r="E10" s="20" t="n">
        <v>21</v>
      </c>
      <c r="F10" s="20" t="n">
        <v>35</v>
      </c>
      <c r="G10" s="11" t="s">
        <v>142</v>
      </c>
      <c r="H10" s="17" t="n">
        <v>1</v>
      </c>
      <c r="I10" s="11" t="s">
        <v>151</v>
      </c>
      <c r="J10" s="18" t="s">
        <v>152</v>
      </c>
    </row>
    <row r="11" customFormat="false" ht="25.5" hidden="false" customHeight="true" outlineLevel="0" collapsed="false">
      <c r="A11" s="11" t="n">
        <v>7</v>
      </c>
      <c r="B11" s="15" t="s">
        <v>153</v>
      </c>
      <c r="C11" s="19" t="n">
        <v>1</v>
      </c>
      <c r="D11" s="19" t="n">
        <v>4.71</v>
      </c>
      <c r="E11" s="19" t="n">
        <v>1</v>
      </c>
      <c r="F11" s="19" t="n">
        <v>4.45</v>
      </c>
      <c r="G11" s="11" t="s">
        <v>142</v>
      </c>
      <c r="H11" s="17" t="n">
        <v>1</v>
      </c>
      <c r="I11" s="11" t="s">
        <v>143</v>
      </c>
      <c r="J11" s="18" t="s">
        <v>154</v>
      </c>
    </row>
    <row r="12" customFormat="false" ht="25.5" hidden="false" customHeight="true" outlineLevel="0" collapsed="false">
      <c r="A12" s="11" t="n">
        <v>8</v>
      </c>
      <c r="B12" s="15" t="s">
        <v>155</v>
      </c>
      <c r="C12" s="21" t="n">
        <v>0.07</v>
      </c>
      <c r="D12" s="21" t="n">
        <v>0.083</v>
      </c>
      <c r="E12" s="21" t="n">
        <v>0.068</v>
      </c>
      <c r="F12" s="21" t="n">
        <v>0.081</v>
      </c>
      <c r="G12" s="11" t="s">
        <v>142</v>
      </c>
      <c r="H12" s="17" t="n">
        <v>3</v>
      </c>
      <c r="I12" s="11" t="s">
        <v>143</v>
      </c>
      <c r="J12" s="18" t="s">
        <v>156</v>
      </c>
    </row>
    <row r="13" customFormat="false" ht="25.5" hidden="false" customHeight="true" outlineLevel="0" collapsed="false">
      <c r="A13" s="11" t="n">
        <v>9</v>
      </c>
      <c r="B13" s="15" t="s">
        <v>50</v>
      </c>
      <c r="C13" s="20" t="n">
        <v>34</v>
      </c>
      <c r="D13" s="20" t="n">
        <v>45</v>
      </c>
      <c r="E13" s="20" t="n">
        <v>33</v>
      </c>
      <c r="F13" s="20" t="n">
        <v>43</v>
      </c>
      <c r="G13" s="11" t="s">
        <v>157</v>
      </c>
      <c r="H13" s="17" t="n">
        <v>3</v>
      </c>
      <c r="I13" s="11" t="s">
        <v>158</v>
      </c>
      <c r="J13" s="18" t="s">
        <v>159</v>
      </c>
    </row>
    <row r="14" customFormat="false" ht="25.5" hidden="false" customHeight="true" outlineLevel="0" collapsed="false">
      <c r="A14" s="11" t="n">
        <v>10</v>
      </c>
      <c r="B14" s="15" t="s">
        <v>160</v>
      </c>
      <c r="C14" s="22" t="n">
        <v>40</v>
      </c>
      <c r="D14" s="22" t="n">
        <v>120</v>
      </c>
      <c r="E14" s="22" t="n">
        <v>40</v>
      </c>
      <c r="F14" s="22" t="n">
        <v>120</v>
      </c>
      <c r="G14" s="11" t="s">
        <v>138</v>
      </c>
      <c r="H14" s="17" t="n">
        <v>0</v>
      </c>
      <c r="I14" s="11" t="s">
        <v>139</v>
      </c>
      <c r="J14" s="18" t="s">
        <v>161</v>
      </c>
    </row>
    <row r="15" customFormat="false" ht="25.5" hidden="false" customHeight="true" outlineLevel="0" collapsed="false">
      <c r="A15" s="11" t="n">
        <v>11</v>
      </c>
      <c r="B15" s="15" t="s">
        <v>162</v>
      </c>
      <c r="C15" s="19" t="n">
        <v>9.6</v>
      </c>
      <c r="D15" s="19" t="n">
        <v>10.4</v>
      </c>
      <c r="E15" s="19" t="n">
        <v>10.1</v>
      </c>
      <c r="F15" s="19" t="n">
        <v>11</v>
      </c>
      <c r="G15" s="11" t="s">
        <v>138</v>
      </c>
      <c r="H15" s="17" t="n">
        <v>0</v>
      </c>
      <c r="I15" s="11" t="s">
        <v>139</v>
      </c>
      <c r="J15" s="18" t="s">
        <v>163</v>
      </c>
    </row>
    <row r="16" customFormat="false" ht="25.5" hidden="false" customHeight="true" outlineLevel="0" collapsed="false">
      <c r="A16" s="11" t="n">
        <v>12</v>
      </c>
      <c r="B16" s="15" t="s">
        <v>55</v>
      </c>
      <c r="C16" s="23" t="n">
        <v>100</v>
      </c>
      <c r="D16" s="23" t="n">
        <v>129</v>
      </c>
      <c r="E16" s="23" t="n">
        <v>100</v>
      </c>
      <c r="F16" s="23" t="n">
        <v>129</v>
      </c>
      <c r="G16" s="11" t="s">
        <v>142</v>
      </c>
      <c r="H16" s="17" t="n">
        <v>1</v>
      </c>
      <c r="I16" s="11" t="s">
        <v>164</v>
      </c>
      <c r="J16" s="18" t="s">
        <v>165</v>
      </c>
    </row>
    <row r="17" customFormat="false" ht="25.5" hidden="false" customHeight="true" outlineLevel="0" collapsed="false">
      <c r="A17" s="11" t="n">
        <v>13</v>
      </c>
      <c r="B17" s="15" t="s">
        <v>57</v>
      </c>
      <c r="C17" s="23" t="n">
        <v>60</v>
      </c>
      <c r="D17" s="23" t="n">
        <v>84</v>
      </c>
      <c r="E17" s="23" t="n">
        <v>60</v>
      </c>
      <c r="F17" s="23" t="n">
        <v>84</v>
      </c>
      <c r="G17" s="11" t="s">
        <v>142</v>
      </c>
      <c r="H17" s="17" t="n">
        <v>1</v>
      </c>
      <c r="I17" s="11" t="s">
        <v>164</v>
      </c>
      <c r="J17" s="18" t="s">
        <v>165</v>
      </c>
    </row>
    <row r="18" customFormat="false" ht="25.5" hidden="false" customHeight="true" outlineLevel="0" collapsed="false">
      <c r="A18" s="11" t="n">
        <v>14</v>
      </c>
      <c r="B18" s="15" t="s">
        <v>166</v>
      </c>
      <c r="C18" s="23" t="n">
        <v>70</v>
      </c>
      <c r="D18" s="23" t="n">
        <v>105</v>
      </c>
      <c r="E18" s="23" t="n">
        <v>70</v>
      </c>
      <c r="F18" s="23" t="n">
        <v>105</v>
      </c>
      <c r="G18" s="11" t="s">
        <v>142</v>
      </c>
      <c r="H18" s="17" t="n">
        <v>1</v>
      </c>
      <c r="I18" s="11" t="s">
        <v>164</v>
      </c>
      <c r="J18" s="18" t="s">
        <v>167</v>
      </c>
    </row>
    <row r="19" customFormat="false" ht="25.5" hidden="false" customHeight="true" outlineLevel="0" collapsed="false">
      <c r="A19" s="11" t="n">
        <v>15</v>
      </c>
      <c r="B19" s="15" t="s">
        <v>168</v>
      </c>
      <c r="C19" s="23" t="n">
        <v>30</v>
      </c>
      <c r="D19" s="23" t="n">
        <v>55</v>
      </c>
      <c r="E19" s="23" t="n">
        <v>30</v>
      </c>
      <c r="F19" s="23" t="n">
        <v>55</v>
      </c>
      <c r="G19" s="11" t="s">
        <v>142</v>
      </c>
      <c r="H19" s="17" t="n">
        <v>2</v>
      </c>
      <c r="I19" s="11" t="s">
        <v>164</v>
      </c>
      <c r="J19" s="18" t="s">
        <v>169</v>
      </c>
    </row>
    <row r="20" customFormat="false" ht="25.5" hidden="false" customHeight="true" outlineLevel="0" collapsed="false">
      <c r="A20" s="11" t="n">
        <v>16</v>
      </c>
      <c r="B20" s="15" t="s">
        <v>58</v>
      </c>
      <c r="C20" s="24" t="n">
        <v>50</v>
      </c>
      <c r="D20" s="24" t="n">
        <v>76</v>
      </c>
      <c r="E20" s="24" t="n">
        <v>50</v>
      </c>
      <c r="F20" s="24" t="n">
        <v>80</v>
      </c>
      <c r="G20" s="11" t="s">
        <v>142</v>
      </c>
      <c r="H20" s="17" t="n">
        <v>3</v>
      </c>
      <c r="I20" s="11" t="s">
        <v>170</v>
      </c>
      <c r="J20" s="18" t="s">
        <v>171</v>
      </c>
    </row>
    <row r="21" customFormat="false" ht="25.5" hidden="false" customHeight="true" outlineLevel="0" collapsed="false">
      <c r="A21" s="11" t="n">
        <v>17</v>
      </c>
      <c r="B21" s="15" t="s">
        <v>172</v>
      </c>
      <c r="C21" s="23" t="n">
        <v>70</v>
      </c>
      <c r="D21" s="23" t="n">
        <v>130</v>
      </c>
      <c r="E21" s="23" t="n">
        <v>70</v>
      </c>
      <c r="F21" s="23" t="n">
        <v>130</v>
      </c>
      <c r="G21" s="11" t="s">
        <v>157</v>
      </c>
      <c r="H21" s="17" t="n">
        <v>1</v>
      </c>
      <c r="I21" s="11" t="s">
        <v>170</v>
      </c>
      <c r="J21" s="18" t="s">
        <v>173</v>
      </c>
    </row>
    <row r="22" customFormat="false" ht="25.5" hidden="false" customHeight="true" outlineLevel="0" collapsed="false">
      <c r="A22" s="11" t="n">
        <v>18</v>
      </c>
      <c r="B22" s="15" t="s">
        <v>174</v>
      </c>
      <c r="C22" s="16" t="n">
        <v>0.7</v>
      </c>
      <c r="D22" s="16" t="n">
        <v>0.99</v>
      </c>
      <c r="E22" s="16" t="n">
        <v>0.7</v>
      </c>
      <c r="F22" s="16" t="n">
        <v>0.99</v>
      </c>
      <c r="G22" s="11" t="s">
        <v>142</v>
      </c>
      <c r="H22" s="17" t="n">
        <v>1</v>
      </c>
      <c r="I22" s="11" t="s">
        <v>170</v>
      </c>
      <c r="J22" s="18" t="s">
        <v>175</v>
      </c>
    </row>
    <row r="23" customFormat="false" ht="25.5" hidden="false" customHeight="true" outlineLevel="0" collapsed="false">
      <c r="A23" s="11" t="n">
        <v>19</v>
      </c>
      <c r="B23" s="15" t="s">
        <v>176</v>
      </c>
      <c r="C23" s="25" t="n">
        <v>6000</v>
      </c>
      <c r="D23" s="25" t="n">
        <v>12000</v>
      </c>
      <c r="E23" s="25" t="n">
        <v>6000</v>
      </c>
      <c r="F23" s="25" t="n">
        <v>12000</v>
      </c>
      <c r="G23" s="11" t="s">
        <v>142</v>
      </c>
      <c r="H23" s="17" t="n">
        <v>2</v>
      </c>
      <c r="I23" s="11" t="s">
        <v>170</v>
      </c>
      <c r="J23" s="18" t="s">
        <v>177</v>
      </c>
    </row>
    <row r="24" customFormat="false" ht="25.5" hidden="false" customHeight="true" outlineLevel="0" collapsed="false">
      <c r="A24" s="11" t="n">
        <v>20</v>
      </c>
      <c r="B24" s="15" t="s">
        <v>178</v>
      </c>
      <c r="C24" s="20" t="n">
        <v>3.5</v>
      </c>
      <c r="D24" s="20" t="n">
        <v>6.9</v>
      </c>
      <c r="E24" s="20" t="n">
        <v>3</v>
      </c>
      <c r="F24" s="20" t="n">
        <v>6.5</v>
      </c>
      <c r="G24" s="11" t="s">
        <v>157</v>
      </c>
      <c r="H24" s="17" t="n">
        <v>1</v>
      </c>
      <c r="I24" s="11" t="s">
        <v>179</v>
      </c>
      <c r="J24" s="18" t="s">
        <v>180</v>
      </c>
    </row>
    <row r="25" customFormat="false" ht="25.5" hidden="false" customHeight="true" outlineLevel="0" collapsed="false">
      <c r="A25" s="11" t="n">
        <v>21</v>
      </c>
      <c r="B25" s="15" t="s">
        <v>181</v>
      </c>
      <c r="C25" s="16" t="n">
        <v>2.2</v>
      </c>
      <c r="D25" s="16" t="n">
        <v>4</v>
      </c>
      <c r="E25" s="16" t="n">
        <v>2.2</v>
      </c>
      <c r="F25" s="16" t="n">
        <v>4</v>
      </c>
      <c r="G25" s="11" t="s">
        <v>157</v>
      </c>
      <c r="H25" s="17" t="n">
        <v>1</v>
      </c>
      <c r="I25" s="11" t="s">
        <v>179</v>
      </c>
      <c r="J25" s="18" t="s">
        <v>180</v>
      </c>
    </row>
    <row r="26" customFormat="false" ht="25.5" hidden="false" customHeight="true" outlineLevel="0" collapsed="false">
      <c r="A26" s="11" t="n">
        <v>22</v>
      </c>
      <c r="B26" s="15" t="s">
        <v>65</v>
      </c>
      <c r="C26" s="24" t="n">
        <v>40</v>
      </c>
      <c r="D26" s="24" t="n">
        <v>90</v>
      </c>
      <c r="E26" s="24" t="n">
        <v>50</v>
      </c>
      <c r="F26" s="24" t="n">
        <v>100</v>
      </c>
      <c r="G26" s="11" t="s">
        <v>157</v>
      </c>
      <c r="H26" s="17" t="n">
        <v>2</v>
      </c>
      <c r="I26" s="11" t="s">
        <v>182</v>
      </c>
      <c r="J26" s="18" t="s">
        <v>183</v>
      </c>
    </row>
    <row r="27" customFormat="false" ht="25.5" hidden="false" customHeight="true" outlineLevel="0" collapsed="false">
      <c r="A27" s="11" t="n">
        <v>23</v>
      </c>
      <c r="B27" s="15" t="s">
        <v>184</v>
      </c>
      <c r="C27" s="20" t="n">
        <v>0</v>
      </c>
      <c r="D27" s="20" t="n">
        <v>26.7</v>
      </c>
      <c r="E27" s="20" t="n">
        <v>0</v>
      </c>
      <c r="F27" s="20" t="n">
        <v>22.4</v>
      </c>
      <c r="G27" s="11" t="s">
        <v>142</v>
      </c>
      <c r="H27" s="17" t="n">
        <v>3</v>
      </c>
      <c r="I27" s="11" t="s">
        <v>143</v>
      </c>
      <c r="J27" s="18" t="s">
        <v>185</v>
      </c>
    </row>
    <row r="28" customFormat="false" ht="25.5" hidden="false" customHeight="true" outlineLevel="0" collapsed="false">
      <c r="A28" s="11" t="n">
        <v>24</v>
      </c>
      <c r="B28" s="15" t="s">
        <v>186</v>
      </c>
      <c r="C28" s="19" t="n">
        <v>0</v>
      </c>
      <c r="D28" s="19" t="n">
        <v>0.39</v>
      </c>
      <c r="E28" s="19" t="n">
        <v>0</v>
      </c>
      <c r="F28" s="19" t="n">
        <v>0.31</v>
      </c>
      <c r="G28" s="11" t="s">
        <v>142</v>
      </c>
      <c r="H28" s="17" t="n">
        <v>2</v>
      </c>
      <c r="I28" s="11" t="s">
        <v>143</v>
      </c>
      <c r="J28" s="18" t="s">
        <v>187</v>
      </c>
    </row>
    <row r="29" customFormat="false" ht="25.5" hidden="false" customHeight="true" outlineLevel="0" collapsed="false">
      <c r="A29" s="11" t="n">
        <v>25</v>
      </c>
      <c r="B29" s="15" t="s">
        <v>188</v>
      </c>
      <c r="C29" s="16" t="n">
        <v>0</v>
      </c>
      <c r="D29" s="16" t="n">
        <v>1.92</v>
      </c>
      <c r="E29" s="16" t="n">
        <v>0</v>
      </c>
      <c r="F29" s="16" t="n">
        <v>1.92</v>
      </c>
      <c r="G29" s="11" t="s">
        <v>142</v>
      </c>
      <c r="H29" s="17" t="n">
        <v>3</v>
      </c>
      <c r="I29" s="11" t="s">
        <v>143</v>
      </c>
      <c r="J29" s="18" t="s">
        <v>189</v>
      </c>
    </row>
    <row r="30" customFormat="false" ht="25.5" hidden="false" customHeight="true" outlineLevel="0" collapsed="false">
      <c r="A30" s="11" t="n">
        <v>26</v>
      </c>
      <c r="B30" s="15" t="s">
        <v>69</v>
      </c>
      <c r="C30" s="20" t="n">
        <v>3.5</v>
      </c>
      <c r="D30" s="20" t="n">
        <v>7.2</v>
      </c>
      <c r="E30" s="20" t="n">
        <v>2.6</v>
      </c>
      <c r="F30" s="20" t="n">
        <v>6</v>
      </c>
      <c r="G30" s="11" t="s">
        <v>142</v>
      </c>
      <c r="H30" s="17" t="n">
        <v>2</v>
      </c>
      <c r="I30" s="11" t="s">
        <v>69</v>
      </c>
      <c r="J30" s="18" t="s">
        <v>190</v>
      </c>
    </row>
    <row r="31" customFormat="false" ht="25.5" hidden="false" customHeight="true" outlineLevel="0" collapsed="false">
      <c r="A31" s="11" t="n">
        <v>27</v>
      </c>
      <c r="B31" s="15" t="s">
        <v>191</v>
      </c>
      <c r="C31" s="20" t="n">
        <v>0</v>
      </c>
      <c r="D31" s="20" t="n">
        <v>12.2</v>
      </c>
      <c r="E31" s="20" t="n">
        <v>0</v>
      </c>
      <c r="F31" s="20" t="n">
        <v>9.5</v>
      </c>
      <c r="G31" s="11" t="s">
        <v>142</v>
      </c>
      <c r="H31" s="17" t="n">
        <v>2</v>
      </c>
      <c r="I31" s="11" t="s">
        <v>69</v>
      </c>
      <c r="J31" s="18" t="s">
        <v>175</v>
      </c>
    </row>
    <row r="32" customFormat="false" ht="25.5" hidden="false" customHeight="true" outlineLevel="0" collapsed="false">
      <c r="A32" s="11" t="n">
        <v>28</v>
      </c>
      <c r="B32" s="15" t="s">
        <v>70</v>
      </c>
      <c r="C32" s="22" t="n">
        <v>3</v>
      </c>
      <c r="D32" s="22" t="n">
        <v>15</v>
      </c>
      <c r="E32" s="22" t="n">
        <v>3</v>
      </c>
      <c r="F32" s="22" t="n">
        <v>15</v>
      </c>
      <c r="G32" s="11" t="s">
        <v>142</v>
      </c>
      <c r="H32" s="17" t="n">
        <v>2</v>
      </c>
      <c r="I32" s="11" t="s">
        <v>70</v>
      </c>
      <c r="J32" s="18" t="s">
        <v>190</v>
      </c>
    </row>
    <row r="33" customFormat="false" ht="25.5" hidden="false" customHeight="true" outlineLevel="0" collapsed="false">
      <c r="A33" s="11" t="n">
        <v>29</v>
      </c>
      <c r="B33" s="15" t="s">
        <v>192</v>
      </c>
      <c r="C33" s="22" t="n">
        <v>20</v>
      </c>
      <c r="D33" s="22" t="n">
        <v>48</v>
      </c>
      <c r="E33" s="22" t="n">
        <v>20</v>
      </c>
      <c r="F33" s="22" t="n">
        <v>48</v>
      </c>
      <c r="G33" s="11" t="s">
        <v>157</v>
      </c>
      <c r="H33" s="17" t="n">
        <v>3</v>
      </c>
      <c r="I33" s="11" t="s">
        <v>193</v>
      </c>
      <c r="J33" s="18" t="s">
        <v>194</v>
      </c>
    </row>
    <row r="34" customFormat="false" ht="25.5" hidden="false" customHeight="true" outlineLevel="0" collapsed="false">
      <c r="A34" s="11" t="n">
        <v>30</v>
      </c>
      <c r="B34" s="15" t="s">
        <v>77</v>
      </c>
      <c r="C34" s="24" t="n">
        <v>30</v>
      </c>
      <c r="D34" s="24" t="n">
        <v>400</v>
      </c>
      <c r="E34" s="24" t="n">
        <v>15</v>
      </c>
      <c r="F34" s="24" t="n">
        <v>150</v>
      </c>
      <c r="G34" s="11" t="s">
        <v>157</v>
      </c>
      <c r="H34" s="17" t="n">
        <v>2</v>
      </c>
      <c r="I34" s="11" t="s">
        <v>193</v>
      </c>
      <c r="J34" s="18" t="s">
        <v>190</v>
      </c>
    </row>
    <row r="35" customFormat="false" ht="25.5" hidden="false" customHeight="true" outlineLevel="0" collapsed="false">
      <c r="A35" s="11" t="n">
        <v>31</v>
      </c>
      <c r="B35" s="15" t="s">
        <v>85</v>
      </c>
      <c r="C35" s="20" t="n">
        <v>13</v>
      </c>
      <c r="D35" s="20" t="n">
        <v>17.5</v>
      </c>
      <c r="E35" s="20" t="n">
        <v>12</v>
      </c>
      <c r="F35" s="20" t="n">
        <v>15.5</v>
      </c>
      <c r="G35" s="11" t="s">
        <v>157</v>
      </c>
      <c r="H35" s="17" t="n">
        <v>3</v>
      </c>
      <c r="I35" s="11" t="s">
        <v>85</v>
      </c>
      <c r="J35" s="18" t="s">
        <v>140</v>
      </c>
    </row>
    <row r="36" customFormat="false" ht="25.5" hidden="false" customHeight="true" outlineLevel="0" collapsed="false">
      <c r="A36" s="11" t="n">
        <v>32</v>
      </c>
      <c r="B36" s="15" t="s">
        <v>195</v>
      </c>
      <c r="C36" s="19" t="n">
        <v>1</v>
      </c>
      <c r="D36" s="19" t="n">
        <v>1.6</v>
      </c>
      <c r="E36" s="19" t="n">
        <v>0.9</v>
      </c>
      <c r="F36" s="19" t="n">
        <v>1.5</v>
      </c>
      <c r="G36" s="11" t="s">
        <v>157</v>
      </c>
      <c r="H36" s="17" t="n">
        <v>2</v>
      </c>
      <c r="I36" s="11" t="s">
        <v>85</v>
      </c>
      <c r="J36" s="18" t="s">
        <v>175</v>
      </c>
    </row>
    <row r="37" customFormat="false" ht="25.5" hidden="false" customHeight="true" outlineLevel="0" collapsed="false">
      <c r="A37" s="11" t="n">
        <v>33</v>
      </c>
      <c r="B37" s="15" t="s">
        <v>196</v>
      </c>
      <c r="C37" s="16" t="n">
        <v>0</v>
      </c>
      <c r="D37" s="16" t="n">
        <v>0.5</v>
      </c>
      <c r="E37" s="16" t="n">
        <v>0</v>
      </c>
      <c r="F37" s="16" t="n">
        <v>0.5</v>
      </c>
      <c r="G37" s="11" t="s">
        <v>142</v>
      </c>
      <c r="H37" s="17" t="n">
        <v>0</v>
      </c>
      <c r="I37" s="11" t="s">
        <v>197</v>
      </c>
      <c r="J37" s="18" t="s">
        <v>190</v>
      </c>
    </row>
    <row r="38" customFormat="false" ht="25.5" hidden="false" customHeight="true" outlineLevel="0" collapsed="false">
      <c r="A38" s="11" t="n">
        <v>34</v>
      </c>
      <c r="B38" s="15" t="s">
        <v>83</v>
      </c>
      <c r="C38" s="24" t="n">
        <v>1</v>
      </c>
      <c r="D38" s="24" t="n">
        <v>15</v>
      </c>
      <c r="E38" s="24" t="n">
        <v>1</v>
      </c>
      <c r="F38" s="24" t="n">
        <v>20</v>
      </c>
      <c r="G38" s="11" t="s">
        <v>142</v>
      </c>
      <c r="H38" s="17" t="n">
        <v>0</v>
      </c>
      <c r="I38" s="11" t="s">
        <v>197</v>
      </c>
      <c r="J38" s="18" t="s">
        <v>190</v>
      </c>
    </row>
    <row r="39" customFormat="false" ht="25.5" hidden="false" customHeight="true" outlineLevel="0" collapsed="false">
      <c r="A39" s="11" t="n">
        <v>35</v>
      </c>
      <c r="B39" s="15" t="s">
        <v>198</v>
      </c>
      <c r="C39" s="16" t="n">
        <v>0.73</v>
      </c>
      <c r="D39" s="16" t="n">
        <v>3.33</v>
      </c>
      <c r="E39" s="16" t="n">
        <v>0.73</v>
      </c>
      <c r="F39" s="16" t="n">
        <v>3.33</v>
      </c>
      <c r="G39" s="11" t="s">
        <v>142</v>
      </c>
      <c r="H39" s="17" t="n">
        <v>2</v>
      </c>
      <c r="I39" s="11" t="s">
        <v>199</v>
      </c>
      <c r="J39" s="18" t="s">
        <v>175</v>
      </c>
    </row>
    <row r="40" customFormat="false" ht="25.5" hidden="false" customHeight="true" outlineLevel="0" collapsed="false">
      <c r="A40" s="11" t="n">
        <v>36</v>
      </c>
      <c r="B40" s="15" t="s">
        <v>200</v>
      </c>
      <c r="C40" s="16" t="n">
        <v>0.12</v>
      </c>
      <c r="D40" s="16" t="n">
        <v>0.38</v>
      </c>
      <c r="E40" s="16" t="n">
        <v>0.12</v>
      </c>
      <c r="F40" s="16" t="n">
        <v>0.38</v>
      </c>
      <c r="G40" s="11" t="s">
        <v>142</v>
      </c>
      <c r="H40" s="17" t="n">
        <v>2</v>
      </c>
      <c r="I40" s="11" t="s">
        <v>199</v>
      </c>
      <c r="J40" s="18" t="s">
        <v>175</v>
      </c>
    </row>
    <row r="41" customFormat="false" ht="25.5" hidden="false" customHeight="true" outlineLevel="0" collapsed="false">
      <c r="A41" s="11" t="n">
        <v>37</v>
      </c>
      <c r="B41" s="15" t="s">
        <v>201</v>
      </c>
      <c r="C41" s="23" t="n">
        <v>63</v>
      </c>
      <c r="D41" s="23" t="n">
        <v>209</v>
      </c>
      <c r="E41" s="23" t="n">
        <v>63</v>
      </c>
      <c r="F41" s="23" t="n">
        <v>209</v>
      </c>
      <c r="G41" s="11" t="s">
        <v>142</v>
      </c>
      <c r="H41" s="17" t="n">
        <v>1</v>
      </c>
      <c r="I41" s="11" t="s">
        <v>199</v>
      </c>
      <c r="J41" s="18" t="s">
        <v>175</v>
      </c>
    </row>
    <row r="42" customFormat="false" ht="25.5" hidden="false" customHeight="true" outlineLevel="0" collapsed="false">
      <c r="A42" s="11" t="n">
        <v>38</v>
      </c>
      <c r="B42" s="15" t="s">
        <v>202</v>
      </c>
      <c r="C42" s="23" t="n">
        <v>131</v>
      </c>
      <c r="D42" s="23" t="n">
        <v>901</v>
      </c>
      <c r="E42" s="23" t="n">
        <v>131</v>
      </c>
      <c r="F42" s="23" t="n">
        <v>901</v>
      </c>
      <c r="G42" s="11" t="s">
        <v>142</v>
      </c>
      <c r="H42" s="17" t="n">
        <v>2</v>
      </c>
      <c r="I42" s="11" t="s">
        <v>199</v>
      </c>
      <c r="J42" s="18" t="s">
        <v>203</v>
      </c>
    </row>
    <row r="43" customFormat="false" ht="25.5" hidden="false" customHeight="true" outlineLevel="0" collapsed="false">
      <c r="A43" s="11" t="n">
        <v>39</v>
      </c>
      <c r="B43" s="15" t="s">
        <v>204</v>
      </c>
      <c r="C43" s="16" t="n">
        <v>0</v>
      </c>
      <c r="D43" s="16" t="n">
        <v>1.2</v>
      </c>
      <c r="E43" s="16" t="n">
        <v>0</v>
      </c>
      <c r="F43" s="16" t="n">
        <v>1.2</v>
      </c>
      <c r="G43" s="11" t="s">
        <v>142</v>
      </c>
      <c r="H43" s="17" t="n">
        <v>3</v>
      </c>
      <c r="I43" s="11" t="s">
        <v>199</v>
      </c>
      <c r="J43" s="18" t="s">
        <v>203</v>
      </c>
    </row>
    <row r="44" customFormat="false" ht="25.5" hidden="false" customHeight="true" outlineLevel="0" collapsed="false">
      <c r="A44" s="11" t="n">
        <v>40</v>
      </c>
      <c r="B44" s="15" t="s">
        <v>205</v>
      </c>
      <c r="C44" s="16" t="n">
        <v>0</v>
      </c>
      <c r="D44" s="16" t="n">
        <v>400</v>
      </c>
      <c r="E44" s="16" t="n">
        <v>0</v>
      </c>
      <c r="F44" s="16" t="n">
        <v>400</v>
      </c>
      <c r="G44" s="11" t="s">
        <v>142</v>
      </c>
      <c r="H44" s="17" t="n">
        <v>3</v>
      </c>
      <c r="I44" s="11" t="s">
        <v>199</v>
      </c>
      <c r="J44" s="18" t="s">
        <v>206</v>
      </c>
    </row>
    <row r="45" customFormat="false" ht="25.5" hidden="false" customHeight="true" outlineLevel="0" collapsed="false">
      <c r="A45" s="11" t="n">
        <v>41</v>
      </c>
      <c r="B45" s="15" t="s">
        <v>207</v>
      </c>
      <c r="C45" s="20" t="n">
        <v>0</v>
      </c>
      <c r="D45" s="20" t="n">
        <v>13</v>
      </c>
      <c r="E45" s="20" t="n">
        <v>0</v>
      </c>
      <c r="F45" s="20" t="n">
        <v>11</v>
      </c>
      <c r="G45" s="11" t="s">
        <v>142</v>
      </c>
      <c r="H45" s="17" t="n">
        <v>3</v>
      </c>
      <c r="I45" s="11" t="s">
        <v>182</v>
      </c>
      <c r="J45" s="18" t="s">
        <v>208</v>
      </c>
    </row>
    <row r="46" customFormat="false" ht="25.5" hidden="false" customHeight="true" outlineLevel="0" collapsed="false">
      <c r="A46" s="11" t="n">
        <v>42</v>
      </c>
      <c r="B46" s="15" t="s">
        <v>209</v>
      </c>
      <c r="C46" s="16" t="n">
        <v>0</v>
      </c>
      <c r="D46" s="16" t="n">
        <v>5.55</v>
      </c>
      <c r="E46" s="16" t="n">
        <v>0</v>
      </c>
      <c r="F46" s="16" t="n">
        <v>5.55</v>
      </c>
      <c r="G46" s="11" t="s">
        <v>142</v>
      </c>
      <c r="H46" s="17" t="n">
        <v>1</v>
      </c>
      <c r="I46" s="11" t="s">
        <v>199</v>
      </c>
      <c r="J46" s="18" t="s">
        <v>210</v>
      </c>
    </row>
    <row r="47" customFormat="false" ht="25.5" hidden="false" customHeight="true" outlineLevel="0" collapsed="false">
      <c r="A47" s="11" t="n">
        <v>43</v>
      </c>
      <c r="B47" s="15" t="s">
        <v>211</v>
      </c>
      <c r="C47" s="16" t="n">
        <v>0</v>
      </c>
      <c r="D47" s="16" t="n">
        <v>6</v>
      </c>
      <c r="E47" s="16" t="n">
        <v>0</v>
      </c>
      <c r="F47" s="16" t="n">
        <v>6</v>
      </c>
      <c r="G47" s="11" t="s">
        <v>142</v>
      </c>
      <c r="H47" s="17" t="n">
        <v>1</v>
      </c>
      <c r="I47" s="11" t="s">
        <v>89</v>
      </c>
      <c r="J47" s="18" t="s">
        <v>210</v>
      </c>
    </row>
    <row r="49" customFormat="false" ht="15" hidden="false" customHeight="false" outlineLevel="0" collapsed="false">
      <c r="B49" s="26" t="s">
        <v>212</v>
      </c>
      <c r="C49" s="26"/>
      <c r="D49" s="26"/>
      <c r="E49" s="26"/>
      <c r="F49" s="26"/>
      <c r="G49" s="26"/>
      <c r="H49" s="26"/>
      <c r="I49" s="26"/>
      <c r="J49" s="26"/>
    </row>
    <row r="50" customFormat="false" ht="15" hidden="false" customHeight="true" outlineLevel="0" collapsed="false">
      <c r="B50" s="27" t="s">
        <v>213</v>
      </c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B51" s="27"/>
      <c r="C51" s="27"/>
      <c r="D51" s="27"/>
      <c r="E51" s="27"/>
      <c r="F51" s="27"/>
      <c r="G51" s="27"/>
      <c r="H51" s="27"/>
      <c r="I51" s="27"/>
      <c r="J51" s="27"/>
    </row>
  </sheetData>
  <mergeCells count="2">
    <mergeCell ref="B49:J49"/>
    <mergeCell ref="B50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58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30" hidden="false" customHeight="true" outlineLevel="0" collapsed="false">
      <c r="A4" s="6" t="s">
        <v>129</v>
      </c>
      <c r="B4" s="6" t="s">
        <v>130</v>
      </c>
      <c r="C4" s="6" t="s">
        <v>23</v>
      </c>
      <c r="D4" s="6" t="s">
        <v>24</v>
      </c>
      <c r="E4" s="6" t="s">
        <v>216</v>
      </c>
      <c r="F4" s="6" t="s">
        <v>217</v>
      </c>
      <c r="G4" s="6" t="s">
        <v>218</v>
      </c>
      <c r="H4" s="6" t="s">
        <v>41</v>
      </c>
      <c r="I4" s="6" t="s">
        <v>219</v>
      </c>
      <c r="J4" s="6" t="s">
        <v>220</v>
      </c>
      <c r="K4" s="6" t="s">
        <v>221</v>
      </c>
      <c r="L4" s="6" t="s">
        <v>26</v>
      </c>
    </row>
    <row r="5" customFormat="false" ht="25.5" hidden="false" customHeight="true" outlineLevel="0" collapsed="false">
      <c r="A5" s="11" t="n">
        <v>1</v>
      </c>
      <c r="B5" s="15" t="s">
        <v>113</v>
      </c>
      <c r="C5" s="28" t="str">
        <f aca="false">'01 Paziente'!$B$55</f>
        <v/>
      </c>
      <c r="D5" s="11" t="s">
        <v>114</v>
      </c>
      <c r="E5" s="29" t="n">
        <f aca="false">IF('01 Paziente'!$B$8="M",'02 Riferimenti'!C5,'02 Riferimenti'!E5)</f>
        <v>18.5</v>
      </c>
      <c r="F5" s="29" t="n">
        <f aca="false">IF('01 Paziente'!$B$8="M",'02 Riferimenti'!D5,'02 Riferimenti'!F5)</f>
        <v>24.9</v>
      </c>
      <c r="G5" s="30" t="str">
        <f aca="false">IF(NOT(ISNUMBER(C5)),"n.d.",IF('02 Riferimenti'!$G$5="Informativo",IF(OR(C5&gt;F5,C5&lt;E5),"fuori fascia","in fascia"),IF(AND(C5&gt;F5,OR('02 Riferimenti'!$G$5="Alto",'02 Riferimenti'!$G$5="Bilaterale")),"Fuori (alto)",IF(AND(C5&lt;E5,OR('02 Riferimenti'!$G$5="Basso",'02 Riferimenti'!$G$5="Bilaterale")),"Fuori (basso)",IF(OR(C5&gt;F5,C5&lt;E5),"Fuori (non critico)",IF(AND('02 Riferimenti'!$G$5&lt;&gt;"Informativo",F5&lt;&gt;E5,OR(AND(OR('02 Riferimenti'!$G$5="Alto",'02 Riferimenti'!$G$5="Bilaterale"),(C5-E5)/(F5-E5)&gt;0.8),AND(OR('02 Riferimenti'!$G$5="Basso",'02 Riferimenti'!$G$5="Bilaterale"),(C5-E5)/(F5-E5)&lt;0.2))),"Borderline","Normale"))))))</f>
        <v>n.d.</v>
      </c>
      <c r="H5" s="11" t="n">
        <f aca="false">'02 Riferimenti'!$H$5</f>
        <v>0</v>
      </c>
      <c r="I5" s="30" t="str">
        <f aca="false">IF(OR(G5="n.d.",H5=0),"",IF(AND(C5&gt;F5,OR('02 Riferimenti'!$G$5="Alto",'02 Riferimenti'!$G$5="Bilaterale")),IF((C5-F5)/MAX(F5-E5,0.0001)&gt;0.1,3,2),IF(AND(C5&lt;E5,OR('02 Riferimenti'!$G$5="Basso",'02 Riferimenti'!$G$5="Bilaterale")),IF((E5-C5)/MAX(F5-E5,0.0001)&gt;0.1,3,2),IF(G5="Borderline",1,0))))</f>
        <v/>
      </c>
      <c r="J5" s="11" t="str">
        <f aca="false">IF(I5="","",H5*I5)</f>
        <v/>
      </c>
      <c r="K5" s="11" t="str">
        <f aca="false">'02 Riferimenti'!$I$5</f>
        <v>Corporatura</v>
      </c>
      <c r="L5" s="31" t="s">
        <v>222</v>
      </c>
    </row>
    <row r="6" customFormat="false" ht="25.5" hidden="false" customHeight="true" outlineLevel="0" collapsed="false">
      <c r="A6" s="11" t="n">
        <v>2</v>
      </c>
      <c r="B6" s="15" t="s">
        <v>141</v>
      </c>
      <c r="C6" s="28" t="str">
        <f aca="false">IF(OR('01 Paziente'!$B$14="",'01 Paziente'!$B$13=""),"n.d.",'01 Paziente'!$B$14/'01 Paziente'!$B$13)</f>
        <v>n.d.</v>
      </c>
      <c r="D6" s="11" t="s">
        <v>223</v>
      </c>
      <c r="E6" s="29" t="n">
        <f aca="false">IF('01 Paziente'!$B$8="M",'02 Riferimenti'!C6,'02 Riferimenti'!E6)</f>
        <v>0.3</v>
      </c>
      <c r="F6" s="29" t="n">
        <f aca="false">IF('01 Paziente'!$B$8="M",'02 Riferimenti'!D6,'02 Riferimenti'!F6)</f>
        <v>0.5</v>
      </c>
      <c r="G6" s="30" t="str">
        <f aca="false">IF(NOT(ISNUMBER(C6)),"n.d.",IF('02 Riferimenti'!$G$6="Informativo",IF(OR(C6&gt;F6,C6&lt;E6),"fuori fascia","in fascia"),IF(AND(C6&gt;F6,OR('02 Riferimenti'!$G$6="Alto",'02 Riferimenti'!$G$6="Bilaterale")),"Fuori (alto)",IF(AND(C6&lt;E6,OR('02 Riferimenti'!$G$6="Basso",'02 Riferimenti'!$G$6="Bilaterale")),"Fuori (basso)",IF(OR(C6&gt;F6,C6&lt;E6),"Fuori (non critico)",IF(AND('02 Riferimenti'!$G$6&lt;&gt;"Informativo",F6&lt;&gt;E6,OR(AND(OR('02 Riferimenti'!$G$6="Alto",'02 Riferimenti'!$G$6="Bilaterale"),(C6-E6)/(F6-E6)&gt;0.8),AND(OR('02 Riferimenti'!$G$6="Basso",'02 Riferimenti'!$G$6="Bilaterale"),(C6-E6)/(F6-E6)&lt;0.2))),"Borderline","Normale"))))))</f>
        <v>n.d.</v>
      </c>
      <c r="H6" s="11" t="n">
        <f aca="false">'02 Riferimenti'!$H$6</f>
        <v>3</v>
      </c>
      <c r="I6" s="30" t="str">
        <f aca="false">IF(OR(G6="n.d.",H6=0),"",IF(AND(C6&gt;F6,OR('02 Riferimenti'!$G$6="Alto",'02 Riferimenti'!$G$6="Bilaterale")),IF((C6-F6)/MAX(F6-E6,0.0001)&gt;0.1,3,2),IF(AND(C6&lt;E6,OR('02 Riferimenti'!$G$6="Basso",'02 Riferimenti'!$G$6="Bilaterale")),IF((E6-C6)/MAX(F6-E6,0.0001)&gt;0.1,3,2),IF(G6="Borderline",1,0))))</f>
        <v/>
      </c>
      <c r="J6" s="11" t="str">
        <f aca="false">IF(I6="","",H6*I6)</f>
        <v/>
      </c>
      <c r="K6" s="11" t="str">
        <f aca="false">'02 Riferimenti'!$I$6</f>
        <v>Vita</v>
      </c>
      <c r="L6" s="31" t="s">
        <v>224</v>
      </c>
    </row>
    <row r="7" customFormat="false" ht="25.5" hidden="false" customHeight="true" outlineLevel="0" collapsed="false">
      <c r="A7" s="11" t="n">
        <v>3</v>
      </c>
      <c r="B7" s="15" t="s">
        <v>145</v>
      </c>
      <c r="C7" s="28" t="str">
        <f aca="false">IF(OR('01 Paziente'!$B$14="",'01 Paziente'!$B$15=""),"n.d.",'01 Paziente'!$B$14/'01 Paziente'!$B$15)</f>
        <v>n.d.</v>
      </c>
      <c r="D7" s="11" t="s">
        <v>223</v>
      </c>
      <c r="E7" s="29" t="n">
        <f aca="false">IF('01 Paziente'!$B$8="M",'02 Riferimenti'!C7,'02 Riferimenti'!E7)</f>
        <v>0.7</v>
      </c>
      <c r="F7" s="29" t="n">
        <f aca="false">IF('01 Paziente'!$B$8="M",'02 Riferimenti'!D7,'02 Riferimenti'!F7)</f>
        <v>0.9</v>
      </c>
      <c r="G7" s="30" t="str">
        <f aca="false">IF(NOT(ISNUMBER(C7)),"n.d.",IF('02 Riferimenti'!$G$7="Informativo",IF(OR(C7&gt;F7,C7&lt;E7),"fuori fascia","in fascia"),IF(AND(C7&gt;F7,OR('02 Riferimenti'!$G$7="Alto",'02 Riferimenti'!$G$7="Bilaterale")),"Fuori (alto)",IF(AND(C7&lt;E7,OR('02 Riferimenti'!$G$7="Basso",'02 Riferimenti'!$G$7="Bilaterale")),"Fuori (basso)",IF(OR(C7&gt;F7,C7&lt;E7),"Fuori (non critico)",IF(AND('02 Riferimenti'!$G$7&lt;&gt;"Informativo",F7&lt;&gt;E7,OR(AND(OR('02 Riferimenti'!$G$7="Alto",'02 Riferimenti'!$G$7="Bilaterale"),(C7-E7)/(F7-E7)&gt;0.8),AND(OR('02 Riferimenti'!$G$7="Basso",'02 Riferimenti'!$G$7="Bilaterale"),(C7-E7)/(F7-E7)&lt;0.2))),"Borderline","Normale"))))))</f>
        <v>n.d.</v>
      </c>
      <c r="H7" s="11" t="n">
        <f aca="false">'02 Riferimenti'!$H$7</f>
        <v>2</v>
      </c>
      <c r="I7" s="30" t="str">
        <f aca="false">IF(OR(G7="n.d.",H7=0),"",IF(AND(C7&gt;F7,OR('02 Riferimenti'!$G$7="Alto",'02 Riferimenti'!$G$7="Bilaterale")),IF((C7-F7)/MAX(F7-E7,0.0001)&gt;0.1,3,2),IF(AND(C7&lt;E7,OR('02 Riferimenti'!$G$7="Basso",'02 Riferimenti'!$G$7="Bilaterale")),IF((E7-C7)/MAX(F7-E7,0.0001)&gt;0.1,3,2),IF(G7="Borderline",1,0))))</f>
        <v/>
      </c>
      <c r="J7" s="11" t="str">
        <f aca="false">IF(I7="","",H7*I7)</f>
        <v/>
      </c>
      <c r="K7" s="11" t="str">
        <f aca="false">'02 Riferimenti'!$I$7</f>
        <v>Vita</v>
      </c>
      <c r="L7" s="31" t="s">
        <v>225</v>
      </c>
    </row>
    <row r="8" customFormat="false" ht="25.5" hidden="false" customHeight="true" outlineLevel="0" collapsed="false">
      <c r="A8" s="11" t="n">
        <v>4</v>
      </c>
      <c r="B8" s="15" t="s">
        <v>146</v>
      </c>
      <c r="C8" s="28" t="str">
        <f aca="false">IF(OR('01 Paziente'!$B$14="",'01 Paziente'!$B$12="",'01 Paziente'!$B$13=""),"n.d.",('01 Paziente'!$B$14/100)/(0.109*SQRT('01 Paziente'!$B$12/('01 Paziente'!$B$13/100))))</f>
        <v>n.d.</v>
      </c>
      <c r="D8" s="11" t="s">
        <v>223</v>
      </c>
      <c r="E8" s="29" t="n">
        <f aca="false">IF('01 Paziente'!$B$8="M",'02 Riferimenti'!C8,'02 Riferimenti'!E8)</f>
        <v>1.1</v>
      </c>
      <c r="F8" s="29" t="n">
        <f aca="false">IF('01 Paziente'!$B$8="M",'02 Riferimenti'!D8,'02 Riferimenti'!F8)</f>
        <v>1.25</v>
      </c>
      <c r="G8" s="30" t="str">
        <f aca="false">IF(NOT(ISNUMBER(C8)),"n.d.",IF('02 Riferimenti'!$G$8="Informativo",IF(OR(C8&gt;F8,C8&lt;E8),"fuori fascia","in fascia"),IF(AND(C8&gt;F8,OR('02 Riferimenti'!$G$8="Alto",'02 Riferimenti'!$G$8="Bilaterale")),"Fuori (alto)",IF(AND(C8&lt;E8,OR('02 Riferimenti'!$G$8="Basso",'02 Riferimenti'!$G$8="Bilaterale")),"Fuori (basso)",IF(OR(C8&gt;F8,C8&lt;E8),"Fuori (non critico)",IF(AND('02 Riferimenti'!$G$8&lt;&gt;"Informativo",F8&lt;&gt;E8,OR(AND(OR('02 Riferimenti'!$G$8="Alto",'02 Riferimenti'!$G$8="Bilaterale"),(C8-E8)/(F8-E8)&gt;0.8),AND(OR('02 Riferimenti'!$G$8="Basso",'02 Riferimenti'!$G$8="Bilaterale"),(C8-E8)/(F8-E8)&lt;0.2))),"Borderline","Normale"))))))</f>
        <v>n.d.</v>
      </c>
      <c r="H8" s="11" t="n">
        <f aca="false">'02 Riferimenti'!$H$8</f>
        <v>2</v>
      </c>
      <c r="I8" s="30" t="str">
        <f aca="false">IF(OR(G8="n.d.",H8=0),"",IF(AND(C8&gt;F8,OR('02 Riferimenti'!$G$8="Alto",'02 Riferimenti'!$G$8="Bilaterale")),IF((C8-F8)/MAX(F8-E8,0.0001)&gt;0.1,3,2),IF(AND(C8&lt;E8,OR('02 Riferimenti'!$G$8="Basso",'02 Riferimenti'!$G$8="Bilaterale")),IF((E8-C8)/MAX(F8-E8,0.0001)&gt;0.1,3,2),IF(G8="Borderline",1,0))))</f>
        <v/>
      </c>
      <c r="J8" s="11" t="str">
        <f aca="false">IF(I8="","",H8*I8)</f>
        <v/>
      </c>
      <c r="K8" s="11" t="str">
        <f aca="false">'02 Riferimenti'!$I$8</f>
        <v>Vita</v>
      </c>
      <c r="L8" s="31" t="s">
        <v>226</v>
      </c>
    </row>
    <row r="9" customFormat="false" ht="39" hidden="false" customHeight="true" outlineLevel="0" collapsed="false">
      <c r="A9" s="11" t="n">
        <v>5</v>
      </c>
      <c r="B9" s="15" t="s">
        <v>148</v>
      </c>
      <c r="C9" s="32" t="str">
        <f aca="false">IF(OR('01 Paziente'!$B$55="",'01 Paziente'!$B$9=""),"n.d.",1.2*'01 Paziente'!$B$55+0.23*'01 Paziente'!$B$9-10.8*'01 Paziente'!$B$58-5.4)</f>
        <v>n.d.</v>
      </c>
      <c r="D9" s="11" t="s">
        <v>88</v>
      </c>
      <c r="E9" s="33" t="n">
        <f aca="false">IF('01 Paziente'!$B$8="M",'02 Riferimenti'!C9,'02 Riferimenti'!E9)</f>
        <v>8</v>
      </c>
      <c r="F9" s="33" t="n">
        <f aca="false">IF('01 Paziente'!$B$8="M",'02 Riferimenti'!D9,'02 Riferimenti'!F9)</f>
        <v>25</v>
      </c>
      <c r="G9" s="30" t="str">
        <f aca="false">IF(NOT(ISNUMBER(C9)),"n.d.",IF('02 Riferimenti'!$G$9="Informativo",IF(OR(C9&gt;F9,C9&lt;E9),"fuori fascia","in fascia"),IF(AND(C9&gt;F9,OR('02 Riferimenti'!$G$9="Alto",'02 Riferimenti'!$G$9="Bilaterale")),"Fuori (alto)",IF(AND(C9&lt;E9,OR('02 Riferimenti'!$G$9="Basso",'02 Riferimenti'!$G$9="Bilaterale")),"Fuori (basso)",IF(OR(C9&gt;F9,C9&lt;E9),"Fuori (non critico)",IF(AND('02 Riferimenti'!$G$9&lt;&gt;"Informativo",F9&lt;&gt;E9,OR(AND(OR('02 Riferimenti'!$G$9="Alto",'02 Riferimenti'!$G$9="Bilaterale"),(C9-E9)/(F9-E9)&gt;0.8),AND(OR('02 Riferimenti'!$G$9="Basso",'02 Riferimenti'!$G$9="Bilaterale"),(C9-E9)/(F9-E9)&lt;0.2))),"Borderline","Normale"))))))</f>
        <v>n.d.</v>
      </c>
      <c r="H9" s="11" t="n">
        <f aca="false">'02 Riferimenti'!$H$9</f>
        <v>1</v>
      </c>
      <c r="I9" s="30" t="str">
        <f aca="false">IF(OR(G9="n.d.",H9=0),"",IF(AND(C9&gt;F9,OR('02 Riferimenti'!$G$9="Alto",'02 Riferimenti'!$G$9="Bilaterale")),IF((C9-F9)/MAX(F9-E9,0.0001)&gt;0.1,3,2),IF(AND(C9&lt;E9,OR('02 Riferimenti'!$G$9="Basso",'02 Riferimenti'!$G$9="Bilaterale")),IF((E9-C9)/MAX(F9-E9,0.0001)&gt;0.1,3,2),IF(G9="Borderline",1,0))))</f>
        <v/>
      </c>
      <c r="J9" s="11" t="str">
        <f aca="false">IF(I9="","",H9*I9)</f>
        <v/>
      </c>
      <c r="K9" s="11" t="str">
        <f aca="false">'02 Riferimenti'!$I$9</f>
        <v>Corporatura</v>
      </c>
      <c r="L9" s="31" t="s">
        <v>227</v>
      </c>
    </row>
    <row r="10" customFormat="false" ht="39" hidden="false" customHeight="true" outlineLevel="0" collapsed="false">
      <c r="A10" s="11" t="n">
        <v>6</v>
      </c>
      <c r="B10" s="15" t="s">
        <v>150</v>
      </c>
      <c r="C10" s="32" t="str">
        <f aca="false">IF(OR('01 Paziente'!$B$15="",'01 Paziente'!$B$13=""),"n.d.",'01 Paziente'!$B$15/(('01 Paziente'!$B$13/100)^1.5)-18)</f>
        <v>n.d.</v>
      </c>
      <c r="D10" s="11" t="s">
        <v>88</v>
      </c>
      <c r="E10" s="33" t="n">
        <f aca="false">IF('01 Paziente'!$B$8="M",'02 Riferimenti'!C10,'02 Riferimenti'!E10)</f>
        <v>8</v>
      </c>
      <c r="F10" s="33" t="n">
        <f aca="false">IF('01 Paziente'!$B$8="M",'02 Riferimenti'!D10,'02 Riferimenti'!F10)</f>
        <v>24</v>
      </c>
      <c r="G10" s="30" t="str">
        <f aca="false">IF(NOT(ISNUMBER(C10)),"n.d.",IF('02 Riferimenti'!$G$10="Informativo",IF(OR(C10&gt;F10,C10&lt;E10),"fuori fascia","in fascia"),IF(AND(C10&gt;F10,OR('02 Riferimenti'!$G$10="Alto",'02 Riferimenti'!$G$10="Bilaterale")),"Fuori (alto)",IF(AND(C10&lt;E10,OR('02 Riferimenti'!$G$10="Basso",'02 Riferimenti'!$G$10="Bilaterale")),"Fuori (basso)",IF(OR(C10&gt;F10,C10&lt;E10),"Fuori (non critico)",IF(AND('02 Riferimenti'!$G$10&lt;&gt;"Informativo",F10&lt;&gt;E10,OR(AND(OR('02 Riferimenti'!$G$10="Alto",'02 Riferimenti'!$G$10="Bilaterale"),(C10-E10)/(F10-E10)&gt;0.8),AND(OR('02 Riferimenti'!$G$10="Basso",'02 Riferimenti'!$G$10="Bilaterale"),(C10-E10)/(F10-E10)&lt;0.2))),"Borderline","Normale"))))))</f>
        <v>n.d.</v>
      </c>
      <c r="H10" s="11" t="n">
        <f aca="false">'02 Riferimenti'!$H$10</f>
        <v>1</v>
      </c>
      <c r="I10" s="30" t="str">
        <f aca="false">IF(OR(G10="n.d.",H10=0),"",IF(AND(C10&gt;F10,OR('02 Riferimenti'!$G$10="Alto",'02 Riferimenti'!$G$10="Bilaterale")),IF((C10-F10)/MAX(F10-E10,0.0001)&gt;0.1,3,2),IF(AND(C10&lt;E10,OR('02 Riferimenti'!$G$10="Basso",'02 Riferimenti'!$G$10="Bilaterale")),IF((E10-C10)/MAX(F10-E10,0.0001)&gt;0.1,3,2),IF(G10="Borderline",1,0))))</f>
        <v/>
      </c>
      <c r="J10" s="11" t="str">
        <f aca="false">IF(I10="","",H10*I10)</f>
        <v/>
      </c>
      <c r="K10" s="11" t="str">
        <f aca="false">'02 Riferimenti'!$I$10</f>
        <v>Fianchi</v>
      </c>
      <c r="L10" s="31" t="s">
        <v>228</v>
      </c>
    </row>
    <row r="11" customFormat="false" ht="25.5" hidden="false" customHeight="true" outlineLevel="0" collapsed="false">
      <c r="A11" s="11" t="n">
        <v>7</v>
      </c>
      <c r="B11" s="15" t="s">
        <v>153</v>
      </c>
      <c r="C11" s="28" t="str">
        <f aca="false">IF(OR('01 Paziente'!$B$14="",'01 Paziente'!$B$13=""),"n.d.",364.2-365.5*SQRT(1-((('01 Paziente'!$B$14/100)/(2*PI()))/(0.5*('01 Paziente'!$B$13/100)))^2))</f>
        <v>n.d.</v>
      </c>
      <c r="D11" s="11" t="s">
        <v>223</v>
      </c>
      <c r="E11" s="29" t="n">
        <f aca="false">IF('01 Paziente'!$B$8="M",'02 Riferimenti'!C11,'02 Riferimenti'!E11)</f>
        <v>1</v>
      </c>
      <c r="F11" s="29" t="n">
        <f aca="false">IF('01 Paziente'!$B$8="M",'02 Riferimenti'!D11,'02 Riferimenti'!F11)</f>
        <v>4.71</v>
      </c>
      <c r="G11" s="30" t="str">
        <f aca="false">IF(NOT(ISNUMBER(C11)),"n.d.",IF('02 Riferimenti'!$G$11="Informativo",IF(OR(C11&gt;F11,C11&lt;E11),"fuori fascia","in fascia"),IF(AND(C11&gt;F11,OR('02 Riferimenti'!$G$11="Alto",'02 Riferimenti'!$G$11="Bilaterale")),"Fuori (alto)",IF(AND(C11&lt;E11,OR('02 Riferimenti'!$G$11="Basso",'02 Riferimenti'!$G$11="Bilaterale")),"Fuori (basso)",IF(OR(C11&gt;F11,C11&lt;E11),"Fuori (non critico)",IF(AND('02 Riferimenti'!$G$11&lt;&gt;"Informativo",F11&lt;&gt;E11,OR(AND(OR('02 Riferimenti'!$G$11="Alto",'02 Riferimenti'!$G$11="Bilaterale"),(C11-E11)/(F11-E11)&gt;0.8),AND(OR('02 Riferimenti'!$G$11="Basso",'02 Riferimenti'!$G$11="Bilaterale"),(C11-E11)/(F11-E11)&lt;0.2))),"Borderline","Normale"))))))</f>
        <v>n.d.</v>
      </c>
      <c r="H11" s="11" t="n">
        <f aca="false">'02 Riferimenti'!$H$11</f>
        <v>1</v>
      </c>
      <c r="I11" s="30" t="str">
        <f aca="false">IF(OR(G11="n.d.",H11=0),"",IF(AND(C11&gt;F11,OR('02 Riferimenti'!$G$11="Alto",'02 Riferimenti'!$G$11="Bilaterale")),IF((C11-F11)/MAX(F11-E11,0.0001)&gt;0.1,3,2),IF(AND(C11&lt;E11,OR('02 Riferimenti'!$G$11="Basso",'02 Riferimenti'!$G$11="Bilaterale")),IF((E11-C11)/MAX(F11-E11,0.0001)&gt;0.1,3,2),IF(G11="Borderline",1,0))))</f>
        <v/>
      </c>
      <c r="J11" s="11" t="str">
        <f aca="false">IF(I11="","",H11*I11)</f>
        <v/>
      </c>
      <c r="K11" s="11" t="str">
        <f aca="false">'02 Riferimenti'!$I$11</f>
        <v>Vita</v>
      </c>
      <c r="L11" s="31" t="s">
        <v>229</v>
      </c>
    </row>
    <row r="12" customFormat="false" ht="39" hidden="false" customHeight="true" outlineLevel="0" collapsed="false">
      <c r="A12" s="11" t="n">
        <v>8</v>
      </c>
      <c r="B12" s="15" t="s">
        <v>155</v>
      </c>
      <c r="C12" s="34" t="str">
        <f aca="false">IF(OR('01 Paziente'!$B$14="",'01 Paziente'!$B$55="",'01 Paziente'!$B$13=""),"n.d.",('01 Paziente'!$B$14/100)/(('01 Paziente'!$B$55^(2/3))*SQRT('01 Paziente'!$B$13/100)))</f>
        <v>n.d.</v>
      </c>
      <c r="D12" s="11" t="s">
        <v>223</v>
      </c>
      <c r="E12" s="35" t="n">
        <f aca="false">IF('01 Paziente'!$B$8="M",'02 Riferimenti'!C12,'02 Riferimenti'!E12)</f>
        <v>0.07</v>
      </c>
      <c r="F12" s="35" t="n">
        <f aca="false">IF('01 Paziente'!$B$8="M",'02 Riferimenti'!D12,'02 Riferimenti'!F12)</f>
        <v>0.083</v>
      </c>
      <c r="G12" s="30" t="str">
        <f aca="false">IF(NOT(ISNUMBER(C12)),"n.d.",IF('02 Riferimenti'!$G$12="Informativo",IF(OR(C12&gt;F12,C12&lt;E12),"fuori fascia","in fascia"),IF(AND(C12&gt;F12,OR('02 Riferimenti'!$G$12="Alto",'02 Riferimenti'!$G$12="Bilaterale")),"Fuori (alto)",IF(AND(C12&lt;E12,OR('02 Riferimenti'!$G$12="Basso",'02 Riferimenti'!$G$12="Bilaterale")),"Fuori (basso)",IF(OR(C12&gt;F12,C12&lt;E12),"Fuori (non critico)",IF(AND('02 Riferimenti'!$G$12&lt;&gt;"Informativo",F12&lt;&gt;E12,OR(AND(OR('02 Riferimenti'!$G$12="Alto",'02 Riferimenti'!$G$12="Bilaterale"),(C12-E12)/(F12-E12)&gt;0.8),AND(OR('02 Riferimenti'!$G$12="Basso",'02 Riferimenti'!$G$12="Bilaterale"),(C12-E12)/(F12-E12)&lt;0.2))),"Borderline","Normale"))))))</f>
        <v>n.d.</v>
      </c>
      <c r="H12" s="11" t="n">
        <f aca="false">'02 Riferimenti'!$H$12</f>
        <v>3</v>
      </c>
      <c r="I12" s="30" t="str">
        <f aca="false">IF(OR(G12="n.d.",H12=0),"",IF(AND(C12&gt;F12,OR('02 Riferimenti'!$G$12="Alto",'02 Riferimenti'!$G$12="Bilaterale")),IF((C12-F12)/MAX(F12-E12,0.0001)&gt;0.1,3,2),IF(AND(C12&lt;E12,OR('02 Riferimenti'!$G$12="Basso",'02 Riferimenti'!$G$12="Bilaterale")),IF((E12-C12)/MAX(F12-E12,0.0001)&gt;0.1,3,2),IF(G12="Borderline",1,0))))</f>
        <v/>
      </c>
      <c r="J12" s="11" t="str">
        <f aca="false">IF(I12="","",H12*I12)</f>
        <v/>
      </c>
      <c r="K12" s="11" t="str">
        <f aca="false">'02 Riferimenti'!$I$12</f>
        <v>Vita</v>
      </c>
      <c r="L12" s="31" t="s">
        <v>230</v>
      </c>
    </row>
    <row r="13" customFormat="false" ht="39" hidden="false" customHeight="true" outlineLevel="0" collapsed="false">
      <c r="A13" s="11" t="n">
        <v>9</v>
      </c>
      <c r="B13" s="15" t="s">
        <v>50</v>
      </c>
      <c r="C13" s="32" t="str">
        <f aca="false">IF('01 Paziente'!$B$16="","n.d.",'01 Paziente'!$B$16)</f>
        <v>n.d.</v>
      </c>
      <c r="D13" s="11" t="s">
        <v>44</v>
      </c>
      <c r="E13" s="33" t="n">
        <f aca="false">IF('01 Paziente'!$B$8="M",'02 Riferimenti'!C13,'02 Riferimenti'!E13)</f>
        <v>34</v>
      </c>
      <c r="F13" s="33" t="n">
        <f aca="false">IF('01 Paziente'!$B$8="M",'02 Riferimenti'!D13,'02 Riferimenti'!F13)</f>
        <v>45</v>
      </c>
      <c r="G13" s="30" t="str">
        <f aca="false">IF(NOT(ISNUMBER(C13)),"n.d.",IF('02 Riferimenti'!$G$13="Informativo",IF(OR(C13&gt;F13,C13&lt;E13),"fuori fascia","in fascia"),IF(AND(C13&gt;F13,OR('02 Riferimenti'!$G$13="Alto",'02 Riferimenti'!$G$13="Bilaterale")),"Fuori (alto)",IF(AND(C13&lt;E13,OR('02 Riferimenti'!$G$13="Basso",'02 Riferimenti'!$G$13="Bilaterale")),"Fuori (basso)",IF(OR(C13&gt;F13,C13&lt;E13),"Fuori (non critico)",IF(AND('02 Riferimenti'!$G$13&lt;&gt;"Informativo",F13&lt;&gt;E13,OR(AND(OR('02 Riferimenti'!$G$13="Alto",'02 Riferimenti'!$G$13="Bilaterale"),(C13-E13)/(F13-E13)&gt;0.8),AND(OR('02 Riferimenti'!$G$13="Basso",'02 Riferimenti'!$G$13="Bilaterale"),(C13-E13)/(F13-E13)&lt;0.2))),"Borderline","Normale"))))))</f>
        <v>n.d.</v>
      </c>
      <c r="H13" s="11" t="n">
        <f aca="false">'02 Riferimenti'!$H$13</f>
        <v>3</v>
      </c>
      <c r="I13" s="30" t="str">
        <f aca="false">IF(OR(G13="n.d.",H13=0),"",IF(AND(C13&gt;F13,OR('02 Riferimenti'!$G$13="Alto",'02 Riferimenti'!$G$13="Bilaterale")),IF((C13-F13)/MAX(F13-E13,0.0001)&gt;0.1,3,2),IF(AND(C13&lt;E13,OR('02 Riferimenti'!$G$13="Basso",'02 Riferimenti'!$G$13="Bilaterale")),IF((E13-C13)/MAX(F13-E13,0.0001)&gt;0.1,3,2),IF(G13="Borderline",1,0))))</f>
        <v/>
      </c>
      <c r="J13" s="11" t="str">
        <f aca="false">IF(I13="","",H13*I13)</f>
        <v/>
      </c>
      <c r="K13" s="11" t="str">
        <f aca="false">'02 Riferimenti'!$I$13</f>
        <v>Muscolo</v>
      </c>
      <c r="L13" s="31" t="s">
        <v>231</v>
      </c>
    </row>
    <row r="14" customFormat="false" ht="25.5" hidden="false" customHeight="true" outlineLevel="0" collapsed="false">
      <c r="A14" s="11" t="n">
        <v>10</v>
      </c>
      <c r="B14" s="15" t="s">
        <v>160</v>
      </c>
      <c r="C14" s="32" t="str">
        <f aca="false">IF(OR('01 Paziente'!$B$13="",'01 Paziente'!$B$8=""),"n.d.",'01 Paziente'!$B$13-100-('01 Paziente'!$B$13-150)/IF('01 Paziente'!$B$8="M",4,2))</f>
        <v>n.d.</v>
      </c>
      <c r="D14" s="11" t="s">
        <v>42</v>
      </c>
      <c r="E14" s="33" t="n">
        <f aca="false">IF('01 Paziente'!$B$8="M",'02 Riferimenti'!C14,'02 Riferimenti'!E14)</f>
        <v>40</v>
      </c>
      <c r="F14" s="33" t="n">
        <f aca="false">IF('01 Paziente'!$B$8="M",'02 Riferimenti'!D14,'02 Riferimenti'!F14)</f>
        <v>120</v>
      </c>
      <c r="G14" s="30" t="str">
        <f aca="false">IF(NOT(ISNUMBER(C14)),"n.d.",IF('02 Riferimenti'!$G$14="Informativo",IF(OR(C14&gt;F14,C14&lt;E14),"fuori fascia","in fascia"),IF(AND(C14&gt;F14,OR('02 Riferimenti'!$G$14="Alto",'02 Riferimenti'!$G$14="Bilaterale")),"Fuori (alto)",IF(AND(C14&lt;E14,OR('02 Riferimenti'!$G$14="Basso",'02 Riferimenti'!$G$14="Bilaterale")),"Fuori (basso)",IF(OR(C14&gt;F14,C14&lt;E14),"Fuori (non critico)",IF(AND('02 Riferimenti'!$G$14&lt;&gt;"Informativo",F14&lt;&gt;E14,OR(AND(OR('02 Riferimenti'!$G$14="Alto",'02 Riferimenti'!$G$14="Bilaterale"),(C14-E14)/(F14-E14)&gt;0.8),AND(OR('02 Riferimenti'!$G$14="Basso",'02 Riferimenti'!$G$14="Bilaterale"),(C14-E14)/(F14-E14)&lt;0.2))),"Borderline","Normale"))))))</f>
        <v>n.d.</v>
      </c>
      <c r="H14" s="11" t="n">
        <f aca="false">'02 Riferimenti'!$H$14</f>
        <v>0</v>
      </c>
      <c r="I14" s="30" t="str">
        <f aca="false">IF(OR(G14="n.d.",H14=0),"",IF(AND(C14&gt;F14,OR('02 Riferimenti'!$G$14="Alto",'02 Riferimenti'!$G$14="Bilaterale")),IF((C14-F14)/MAX(F14-E14,0.0001)&gt;0.1,3,2),IF(AND(C14&lt;E14,OR('02 Riferimenti'!$G$14="Basso",'02 Riferimenti'!$G$14="Bilaterale")),IF((E14-C14)/MAX(F14-E14,0.0001)&gt;0.1,3,2),IF(G14="Borderline",1,0))))</f>
        <v/>
      </c>
      <c r="J14" s="11" t="str">
        <f aca="false">IF(I14="","",H14*I14)</f>
        <v/>
      </c>
      <c r="K14" s="11" t="str">
        <f aca="false">'02 Riferimenti'!$I$14</f>
        <v>Corporatura</v>
      </c>
      <c r="L14" s="31" t="s">
        <v>232</v>
      </c>
    </row>
    <row r="15" customFormat="false" ht="25.5" hidden="false" customHeight="true" outlineLevel="0" collapsed="false">
      <c r="A15" s="11" t="n">
        <v>11</v>
      </c>
      <c r="B15" s="15" t="s">
        <v>162</v>
      </c>
      <c r="C15" s="28" t="str">
        <f aca="false">IF(OR('01 Paziente'!$B$13="",'01 Paziente'!$B$17=""),"n.d.",'01 Paziente'!$B$13/'01 Paziente'!$B$17)</f>
        <v>n.d.</v>
      </c>
      <c r="D15" s="11" t="s">
        <v>223</v>
      </c>
      <c r="E15" s="29" t="n">
        <f aca="false">IF('01 Paziente'!$B$8="M",'02 Riferimenti'!C15,'02 Riferimenti'!E15)</f>
        <v>9.6</v>
      </c>
      <c r="F15" s="29" t="n">
        <f aca="false">IF('01 Paziente'!$B$8="M",'02 Riferimenti'!D15,'02 Riferimenti'!F15)</f>
        <v>10.4</v>
      </c>
      <c r="G15" s="30" t="str">
        <f aca="false">IF(NOT(ISNUMBER(C15)),"n.d.",IF('02 Riferimenti'!$G$15="Informativo",IF(OR(C15&gt;F15,C15&lt;E15),"fuori fascia","in fascia"),IF(AND(C15&gt;F15,OR('02 Riferimenti'!$G$15="Alto",'02 Riferimenti'!$G$15="Bilaterale")),"Fuori (alto)",IF(AND(C15&lt;E15,OR('02 Riferimenti'!$G$15="Basso",'02 Riferimenti'!$G$15="Bilaterale")),"Fuori (basso)",IF(OR(C15&gt;F15,C15&lt;E15),"Fuori (non critico)",IF(AND('02 Riferimenti'!$G$15&lt;&gt;"Informativo",F15&lt;&gt;E15,OR(AND(OR('02 Riferimenti'!$G$15="Alto",'02 Riferimenti'!$G$15="Bilaterale"),(C15-E15)/(F15-E15)&gt;0.8),AND(OR('02 Riferimenti'!$G$15="Basso",'02 Riferimenti'!$G$15="Bilaterale"),(C15-E15)/(F15-E15)&lt;0.2))),"Borderline","Normale"))))))</f>
        <v>n.d.</v>
      </c>
      <c r="H15" s="11" t="n">
        <f aca="false">'02 Riferimenti'!$H$15</f>
        <v>0</v>
      </c>
      <c r="I15" s="30" t="str">
        <f aca="false">IF(OR(G15="n.d.",H15=0),"",IF(AND(C15&gt;F15,OR('02 Riferimenti'!$G$15="Alto",'02 Riferimenti'!$G$15="Bilaterale")),IF((C15-F15)/MAX(F15-E15,0.0001)&gt;0.1,3,2),IF(AND(C15&lt;E15,OR('02 Riferimenti'!$G$15="Basso",'02 Riferimenti'!$G$15="Bilaterale")),IF((E15-C15)/MAX(F15-E15,0.0001)&gt;0.1,3,2),IF(G15="Borderline",1,0))))</f>
        <v/>
      </c>
      <c r="J15" s="11" t="str">
        <f aca="false">IF(I15="","",H15*I15)</f>
        <v/>
      </c>
      <c r="K15" s="11" t="str">
        <f aca="false">'02 Riferimenti'!$I$15</f>
        <v>Corporatura</v>
      </c>
      <c r="L15" s="31" t="s">
        <v>233</v>
      </c>
    </row>
    <row r="16" customFormat="false" ht="25.5" hidden="false" customHeight="true" outlineLevel="0" collapsed="false">
      <c r="A16" s="11" t="n">
        <v>12</v>
      </c>
      <c r="B16" s="15" t="s">
        <v>55</v>
      </c>
      <c r="C16" s="36" t="str">
        <f aca="false">IF('01 Paziente'!$B$20="","n.d.",'01 Paziente'!$B$20)</f>
        <v>n.d.</v>
      </c>
      <c r="D16" s="11" t="s">
        <v>56</v>
      </c>
      <c r="E16" s="37" t="n">
        <f aca="false">IF('01 Paziente'!$B$8="M",'02 Riferimenti'!C16,'02 Riferimenti'!E16)</f>
        <v>100</v>
      </c>
      <c r="F16" s="37" t="n">
        <f aca="false">IF('01 Paziente'!$B$8="M",'02 Riferimenti'!D16,'02 Riferimenti'!F16)</f>
        <v>129</v>
      </c>
      <c r="G16" s="30" t="str">
        <f aca="false">IF(NOT(ISNUMBER(C16)),"n.d.",IF('02 Riferimenti'!$G$16="Informativo",IF(OR(C16&gt;F16,C16&lt;E16),"fuori fascia","in fascia"),IF(AND(C16&gt;F16,OR('02 Riferimenti'!$G$16="Alto",'02 Riferimenti'!$G$16="Bilaterale")),"Fuori (alto)",IF(AND(C16&lt;E16,OR('02 Riferimenti'!$G$16="Basso",'02 Riferimenti'!$G$16="Bilaterale")),"Fuori (basso)",IF(OR(C16&gt;F16,C16&lt;E16),"Fuori (non critico)",IF(AND('02 Riferimenti'!$G$16&lt;&gt;"Informativo",F16&lt;&gt;E16,OR(AND(OR('02 Riferimenti'!$G$16="Alto",'02 Riferimenti'!$G$16="Bilaterale"),(C16-E16)/(F16-E16)&gt;0.8),AND(OR('02 Riferimenti'!$G$16="Basso",'02 Riferimenti'!$G$16="Bilaterale"),(C16-E16)/(F16-E16)&lt;0.2))),"Borderline","Normale"))))))</f>
        <v>n.d.</v>
      </c>
      <c r="H16" s="11" t="n">
        <f aca="false">'02 Riferimenti'!$H$16</f>
        <v>1</v>
      </c>
      <c r="I16" s="30" t="str">
        <f aca="false">IF(OR(G16="n.d.",H16=0),"",IF(AND(C16&gt;F16,OR('02 Riferimenti'!$G$16="Alto",'02 Riferimenti'!$G$16="Bilaterale")),IF((C16-F16)/MAX(F16-E16,0.0001)&gt;0.1,3,2),IF(AND(C16&lt;E16,OR('02 Riferimenti'!$G$16="Basso",'02 Riferimenti'!$G$16="Bilaterale")),IF((E16-C16)/MAX(F16-E16,0.0001)&gt;0.1,3,2),IF(G16="Borderline",1,0))))</f>
        <v/>
      </c>
      <c r="J16" s="11" t="str">
        <f aca="false">IF(I16="","",H16*I16)</f>
        <v/>
      </c>
      <c r="K16" s="11" t="str">
        <f aca="false">'02 Riferimenti'!$I$16</f>
        <v>Pressione</v>
      </c>
      <c r="L16" s="31"/>
    </row>
    <row r="17" customFormat="false" ht="25.5" hidden="false" customHeight="true" outlineLevel="0" collapsed="false">
      <c r="A17" s="11" t="n">
        <v>13</v>
      </c>
      <c r="B17" s="15" t="s">
        <v>57</v>
      </c>
      <c r="C17" s="36" t="str">
        <f aca="false">IF('01 Paziente'!$B$21="","n.d.",'01 Paziente'!$B$21)</f>
        <v>n.d.</v>
      </c>
      <c r="D17" s="11" t="s">
        <v>56</v>
      </c>
      <c r="E17" s="37" t="n">
        <f aca="false">IF('01 Paziente'!$B$8="M",'02 Riferimenti'!C17,'02 Riferimenti'!E17)</f>
        <v>60</v>
      </c>
      <c r="F17" s="37" t="n">
        <f aca="false">IF('01 Paziente'!$B$8="M",'02 Riferimenti'!D17,'02 Riferimenti'!F17)</f>
        <v>84</v>
      </c>
      <c r="G17" s="30" t="str">
        <f aca="false">IF(NOT(ISNUMBER(C17)),"n.d.",IF('02 Riferimenti'!$G$17="Informativo",IF(OR(C17&gt;F17,C17&lt;E17),"fuori fascia","in fascia"),IF(AND(C17&gt;F17,OR('02 Riferimenti'!$G$17="Alto",'02 Riferimenti'!$G$17="Bilaterale")),"Fuori (alto)",IF(AND(C17&lt;E17,OR('02 Riferimenti'!$G$17="Basso",'02 Riferimenti'!$G$17="Bilaterale")),"Fuori (basso)",IF(OR(C17&gt;F17,C17&lt;E17),"Fuori (non critico)",IF(AND('02 Riferimenti'!$G$17&lt;&gt;"Informativo",F17&lt;&gt;E17,OR(AND(OR('02 Riferimenti'!$G$17="Alto",'02 Riferimenti'!$G$17="Bilaterale"),(C17-E17)/(F17-E17)&gt;0.8),AND(OR('02 Riferimenti'!$G$17="Basso",'02 Riferimenti'!$G$17="Bilaterale"),(C17-E17)/(F17-E17)&lt;0.2))),"Borderline","Normale"))))))</f>
        <v>n.d.</v>
      </c>
      <c r="H17" s="11" t="n">
        <f aca="false">'02 Riferimenti'!$H$17</f>
        <v>1</v>
      </c>
      <c r="I17" s="30" t="str">
        <f aca="false">IF(OR(G17="n.d.",H17=0),"",IF(AND(C17&gt;F17,OR('02 Riferimenti'!$G$17="Alto",'02 Riferimenti'!$G$17="Bilaterale")),IF((C17-F17)/MAX(F17-E17,0.0001)&gt;0.1,3,2),IF(AND(C17&lt;E17,OR('02 Riferimenti'!$G$17="Basso",'02 Riferimenti'!$G$17="Bilaterale")),IF((E17-C17)/MAX(F17-E17,0.0001)&gt;0.1,3,2),IF(G17="Borderline",1,0))))</f>
        <v/>
      </c>
      <c r="J17" s="11" t="str">
        <f aca="false">IF(I17="","",H17*I17)</f>
        <v/>
      </c>
      <c r="K17" s="11" t="str">
        <f aca="false">'02 Riferimenti'!$I$17</f>
        <v>Pressione</v>
      </c>
      <c r="L17" s="31"/>
    </row>
    <row r="18" customFormat="false" ht="39" hidden="false" customHeight="true" outlineLevel="0" collapsed="false">
      <c r="A18" s="11" t="n">
        <v>14</v>
      </c>
      <c r="B18" s="15" t="s">
        <v>166</v>
      </c>
      <c r="C18" s="36" t="str">
        <f aca="false">IF(OR('01 Paziente'!$B$20="",'01 Paziente'!$B$21=""),"n.d.",('01 Paziente'!$B$20+2*'01 Paziente'!$B$21)/3)</f>
        <v>n.d.</v>
      </c>
      <c r="D18" s="11" t="s">
        <v>56</v>
      </c>
      <c r="E18" s="37" t="n">
        <f aca="false">IF('01 Paziente'!$B$8="M",'02 Riferimenti'!C18,'02 Riferimenti'!E18)</f>
        <v>70</v>
      </c>
      <c r="F18" s="37" t="n">
        <f aca="false">IF('01 Paziente'!$B$8="M",'02 Riferimenti'!D18,'02 Riferimenti'!F18)</f>
        <v>105</v>
      </c>
      <c r="G18" s="30" t="str">
        <f aca="false">IF(NOT(ISNUMBER(C18)),"n.d.",IF('02 Riferimenti'!$G$18="Informativo",IF(OR(C18&gt;F18,C18&lt;E18),"fuori fascia","in fascia"),IF(AND(C18&gt;F18,OR('02 Riferimenti'!$G$18="Alto",'02 Riferimenti'!$G$18="Bilaterale")),"Fuori (alto)",IF(AND(C18&lt;E18,OR('02 Riferimenti'!$G$18="Basso",'02 Riferimenti'!$G$18="Bilaterale")),"Fuori (basso)",IF(OR(C18&gt;F18,C18&lt;E18),"Fuori (non critico)",IF(AND('02 Riferimenti'!$G$18&lt;&gt;"Informativo",F18&lt;&gt;E18,OR(AND(OR('02 Riferimenti'!$G$18="Alto",'02 Riferimenti'!$G$18="Bilaterale"),(C18-E18)/(F18-E18)&gt;0.8),AND(OR('02 Riferimenti'!$G$18="Basso",'02 Riferimenti'!$G$18="Bilaterale"),(C18-E18)/(F18-E18)&lt;0.2))),"Borderline","Normale"))))))</f>
        <v>n.d.</v>
      </c>
      <c r="H18" s="11" t="n">
        <f aca="false">'02 Riferimenti'!$H$18</f>
        <v>1</v>
      </c>
      <c r="I18" s="30" t="str">
        <f aca="false">IF(OR(G18="n.d.",H18=0),"",IF(AND(C18&gt;F18,OR('02 Riferimenti'!$G$18="Alto",'02 Riferimenti'!$G$18="Bilaterale")),IF((C18-F18)/MAX(F18-E18,0.0001)&gt;0.1,3,2),IF(AND(C18&lt;E18,OR('02 Riferimenti'!$G$18="Basso",'02 Riferimenti'!$G$18="Bilaterale")),IF((E18-C18)/MAX(F18-E18,0.0001)&gt;0.1,3,2),IF(G18="Borderline",1,0))))</f>
        <v/>
      </c>
      <c r="J18" s="11" t="str">
        <f aca="false">IF(I18="","",H18*I18)</f>
        <v/>
      </c>
      <c r="K18" s="11" t="str">
        <f aca="false">'02 Riferimenti'!$I$18</f>
        <v>Pressione</v>
      </c>
      <c r="L18" s="31" t="s">
        <v>234</v>
      </c>
    </row>
    <row r="19" customFormat="false" ht="25.5" hidden="false" customHeight="true" outlineLevel="0" collapsed="false">
      <c r="A19" s="11" t="n">
        <v>15</v>
      </c>
      <c r="B19" s="15" t="s">
        <v>168</v>
      </c>
      <c r="C19" s="36" t="str">
        <f aca="false">IF(OR('01 Paziente'!$B$20="",'01 Paziente'!$B$21=""),"n.d.",'01 Paziente'!$B$20-'01 Paziente'!$B$21)</f>
        <v>n.d.</v>
      </c>
      <c r="D19" s="11" t="s">
        <v>56</v>
      </c>
      <c r="E19" s="37" t="n">
        <f aca="false">IF('01 Paziente'!$B$8="M",'02 Riferimenti'!C19,'02 Riferimenti'!E19)</f>
        <v>30</v>
      </c>
      <c r="F19" s="37" t="n">
        <f aca="false">IF('01 Paziente'!$B$8="M",'02 Riferimenti'!D19,'02 Riferimenti'!F19)</f>
        <v>55</v>
      </c>
      <c r="G19" s="30" t="str">
        <f aca="false">IF(NOT(ISNUMBER(C19)),"n.d.",IF('02 Riferimenti'!$G$19="Informativo",IF(OR(C19&gt;F19,C19&lt;E19),"fuori fascia","in fascia"),IF(AND(C19&gt;F19,OR('02 Riferimenti'!$G$19="Alto",'02 Riferimenti'!$G$19="Bilaterale")),"Fuori (alto)",IF(AND(C19&lt;E19,OR('02 Riferimenti'!$G$19="Basso",'02 Riferimenti'!$G$19="Bilaterale")),"Fuori (basso)",IF(OR(C19&gt;F19,C19&lt;E19),"Fuori (non critico)",IF(AND('02 Riferimenti'!$G$19&lt;&gt;"Informativo",F19&lt;&gt;E19,OR(AND(OR('02 Riferimenti'!$G$19="Alto",'02 Riferimenti'!$G$19="Bilaterale"),(C19-E19)/(F19-E19)&gt;0.8),AND(OR('02 Riferimenti'!$G$19="Basso",'02 Riferimenti'!$G$19="Bilaterale"),(C19-E19)/(F19-E19)&lt;0.2))),"Borderline","Normale"))))))</f>
        <v>n.d.</v>
      </c>
      <c r="H19" s="11" t="n">
        <f aca="false">'02 Riferimenti'!$H$19</f>
        <v>2</v>
      </c>
      <c r="I19" s="30" t="str">
        <f aca="false">IF(OR(G19="n.d.",H19=0),"",IF(AND(C19&gt;F19,OR('02 Riferimenti'!$G$19="Alto",'02 Riferimenti'!$G$19="Bilaterale")),IF((C19-F19)/MAX(F19-E19,0.0001)&gt;0.1,3,2),IF(AND(C19&lt;E19,OR('02 Riferimenti'!$G$19="Basso",'02 Riferimenti'!$G$19="Bilaterale")),IF((E19-C19)/MAX(F19-E19,0.0001)&gt;0.1,3,2),IF(G19="Borderline",1,0))))</f>
        <v/>
      </c>
      <c r="J19" s="11" t="str">
        <f aca="false">IF(I19="","",H19*I19)</f>
        <v/>
      </c>
      <c r="K19" s="11" t="str">
        <f aca="false">'02 Riferimenti'!$I$19</f>
        <v>Pressione</v>
      </c>
      <c r="L19" s="31" t="s">
        <v>235</v>
      </c>
    </row>
    <row r="20" customFormat="false" ht="25.5" hidden="false" customHeight="true" outlineLevel="0" collapsed="false">
      <c r="A20" s="11" t="n">
        <v>16</v>
      </c>
      <c r="B20" s="15" t="s">
        <v>58</v>
      </c>
      <c r="C20" s="36" t="str">
        <f aca="false">IF('01 Paziente'!$B$22="","n.d.",'01 Paziente'!$B$22)</f>
        <v>n.d.</v>
      </c>
      <c r="D20" s="11" t="s">
        <v>59</v>
      </c>
      <c r="E20" s="37" t="n">
        <f aca="false">IF('01 Paziente'!$B$8="M",'02 Riferimenti'!C20,'02 Riferimenti'!E20)</f>
        <v>50</v>
      </c>
      <c r="F20" s="37" t="n">
        <f aca="false">IF('01 Paziente'!$B$8="M",'02 Riferimenti'!D20,'02 Riferimenti'!F20)</f>
        <v>76</v>
      </c>
      <c r="G20" s="30" t="str">
        <f aca="false">IF(NOT(ISNUMBER(C20)),"n.d.",IF('02 Riferimenti'!$G$20="Informativo",IF(OR(C20&gt;F20,C20&lt;E20),"fuori fascia","in fascia"),IF(AND(C20&gt;F20,OR('02 Riferimenti'!$G$20="Alto",'02 Riferimenti'!$G$20="Bilaterale")),"Fuori (alto)",IF(AND(C20&lt;E20,OR('02 Riferimenti'!$G$20="Basso",'02 Riferimenti'!$G$20="Bilaterale")),"Fuori (basso)",IF(OR(C20&gt;F20,C20&lt;E20),"Fuori (non critico)",IF(AND('02 Riferimenti'!$G$20&lt;&gt;"Informativo",F20&lt;&gt;E20,OR(AND(OR('02 Riferimenti'!$G$20="Alto",'02 Riferimenti'!$G$20="Bilaterale"),(C20-E20)/(F20-E20)&gt;0.8),AND(OR('02 Riferimenti'!$G$20="Basso",'02 Riferimenti'!$G$20="Bilaterale"),(C20-E20)/(F20-E20)&lt;0.2))),"Borderline","Normale"))))))</f>
        <v>n.d.</v>
      </c>
      <c r="H20" s="11" t="n">
        <f aca="false">'02 Riferimenti'!$H$20</f>
        <v>3</v>
      </c>
      <c r="I20" s="30" t="str">
        <f aca="false">IF(OR(G20="n.d.",H20=0),"",IF(AND(C20&gt;F20,OR('02 Riferimenti'!$G$20="Alto",'02 Riferimenti'!$G$20="Bilaterale")),IF((C20-F20)/MAX(F20-E20,0.0001)&gt;0.1,3,2),IF(AND(C20&lt;E20,OR('02 Riferimenti'!$G$20="Basso",'02 Riferimenti'!$G$20="Bilaterale")),IF((E20-C20)/MAX(F20-E20,0.0001)&gt;0.1,3,2),IF(G20="Borderline",1,0))))</f>
        <v/>
      </c>
      <c r="J20" s="11" t="str">
        <f aca="false">IF(I20="","",H20*I20)</f>
        <v/>
      </c>
      <c r="K20" s="11" t="str">
        <f aca="false">'02 Riferimenti'!$I$20</f>
        <v>Frequenza</v>
      </c>
      <c r="L20" s="31" t="s">
        <v>236</v>
      </c>
    </row>
    <row r="21" customFormat="false" ht="25.5" hidden="false" customHeight="true" outlineLevel="0" collapsed="false">
      <c r="A21" s="11" t="n">
        <v>17</v>
      </c>
      <c r="B21" s="15" t="s">
        <v>172</v>
      </c>
      <c r="C21" s="36" t="str">
        <f aca="false">IF(OR('01 Paziente'!$B$22="",'01 Paziente'!$B$57=""),"n.d.",'01 Paziente'!$B$57-'01 Paziente'!$B$22)</f>
        <v>n.d.</v>
      </c>
      <c r="D21" s="11" t="s">
        <v>59</v>
      </c>
      <c r="E21" s="37" t="n">
        <f aca="false">IF('01 Paziente'!$B$8="M",'02 Riferimenti'!C21,'02 Riferimenti'!E21)</f>
        <v>70</v>
      </c>
      <c r="F21" s="37" t="n">
        <f aca="false">IF('01 Paziente'!$B$8="M",'02 Riferimenti'!D21,'02 Riferimenti'!F21)</f>
        <v>130</v>
      </c>
      <c r="G21" s="30" t="str">
        <f aca="false">IF(NOT(ISNUMBER(C21)),"n.d.",IF('02 Riferimenti'!$G$21="Informativo",IF(OR(C21&gt;F21,C21&lt;E21),"fuori fascia","in fascia"),IF(AND(C21&gt;F21,OR('02 Riferimenti'!$G$21="Alto",'02 Riferimenti'!$G$21="Bilaterale")),"Fuori (alto)",IF(AND(C21&lt;E21,OR('02 Riferimenti'!$G$21="Basso",'02 Riferimenti'!$G$21="Bilaterale")),"Fuori (basso)",IF(OR(C21&gt;F21,C21&lt;E21),"Fuori (non critico)",IF(AND('02 Riferimenti'!$G$21&lt;&gt;"Informativo",F21&lt;&gt;E21,OR(AND(OR('02 Riferimenti'!$G$21="Alto",'02 Riferimenti'!$G$21="Bilaterale"),(C21-E21)/(F21-E21)&gt;0.8),AND(OR('02 Riferimenti'!$G$21="Basso",'02 Riferimenti'!$G$21="Bilaterale"),(C21-E21)/(F21-E21)&lt;0.2))),"Borderline","Normale"))))))</f>
        <v>n.d.</v>
      </c>
      <c r="H21" s="11" t="n">
        <f aca="false">'02 Riferimenti'!$H$21</f>
        <v>1</v>
      </c>
      <c r="I21" s="30" t="str">
        <f aca="false">IF(OR(G21="n.d.",H21=0),"",IF(AND(C21&gt;F21,OR('02 Riferimenti'!$G$21="Alto",'02 Riferimenti'!$G$21="Bilaterale")),IF((C21-F21)/MAX(F21-E21,0.0001)&gt;0.1,3,2),IF(AND(C21&lt;E21,OR('02 Riferimenti'!$G$21="Basso",'02 Riferimenti'!$G$21="Bilaterale")),IF((E21-C21)/MAX(F21-E21,0.0001)&gt;0.1,3,2),IF(G21="Borderline",1,0))))</f>
        <v/>
      </c>
      <c r="J21" s="11" t="str">
        <f aca="false">IF(I21="","",H21*I21)</f>
        <v/>
      </c>
      <c r="K21" s="11" t="str">
        <f aca="false">'02 Riferimenti'!$I$21</f>
        <v>Frequenza</v>
      </c>
      <c r="L21" s="31" t="s">
        <v>237</v>
      </c>
    </row>
    <row r="22" customFormat="false" ht="25.5" hidden="false" customHeight="true" outlineLevel="0" collapsed="false">
      <c r="A22" s="11" t="n">
        <v>18</v>
      </c>
      <c r="B22" s="15" t="s">
        <v>174</v>
      </c>
      <c r="C22" s="28" t="str">
        <f aca="false">IF(OR('01 Paziente'!$B$22="",'01 Paziente'!$B$20="",'01 Paziente'!$B$21=""),"n.d.",'01 Paziente'!$B$22/(('01 Paziente'!$B$20+2*'01 Paziente'!$B$21)/3))</f>
        <v>n.d.</v>
      </c>
      <c r="D22" s="11" t="s">
        <v>223</v>
      </c>
      <c r="E22" s="29" t="n">
        <f aca="false">IF('01 Paziente'!$B$8="M",'02 Riferimenti'!C22,'02 Riferimenti'!E22)</f>
        <v>0.7</v>
      </c>
      <c r="F22" s="29" t="n">
        <f aca="false">IF('01 Paziente'!$B$8="M",'02 Riferimenti'!D22,'02 Riferimenti'!F22)</f>
        <v>0.99</v>
      </c>
      <c r="G22" s="30" t="str">
        <f aca="false">IF(NOT(ISNUMBER(C22)),"n.d.",IF('02 Riferimenti'!$G$22="Informativo",IF(OR(C22&gt;F22,C22&lt;E22),"fuori fascia","in fascia"),IF(AND(C22&gt;F22,OR('02 Riferimenti'!$G$22="Alto",'02 Riferimenti'!$G$22="Bilaterale")),"Fuori (alto)",IF(AND(C22&lt;E22,OR('02 Riferimenti'!$G$22="Basso",'02 Riferimenti'!$G$22="Bilaterale")),"Fuori (basso)",IF(OR(C22&gt;F22,C22&lt;E22),"Fuori (non critico)",IF(AND('02 Riferimenti'!$G$22&lt;&gt;"Informativo",F22&lt;&gt;E22,OR(AND(OR('02 Riferimenti'!$G$22="Alto",'02 Riferimenti'!$G$22="Bilaterale"),(C22-E22)/(F22-E22)&gt;0.8),AND(OR('02 Riferimenti'!$G$22="Basso",'02 Riferimenti'!$G$22="Bilaterale"),(C22-E22)/(F22-E22)&lt;0.2))),"Borderline","Normale"))))))</f>
        <v>n.d.</v>
      </c>
      <c r="H22" s="11" t="n">
        <f aca="false">'02 Riferimenti'!$H$22</f>
        <v>1</v>
      </c>
      <c r="I22" s="30" t="str">
        <f aca="false">IF(OR(G22="n.d.",H22=0),"",IF(AND(C22&gt;F22,OR('02 Riferimenti'!$G$22="Alto",'02 Riferimenti'!$G$22="Bilaterale")),IF((C22-F22)/MAX(F22-E22,0.0001)&gt;0.1,3,2),IF(AND(C22&lt;E22,OR('02 Riferimenti'!$G$22="Basso",'02 Riferimenti'!$G$22="Bilaterale")),IF((E22-C22)/MAX(F22-E22,0.0001)&gt;0.1,3,2),IF(G22="Borderline",1,0))))</f>
        <v/>
      </c>
      <c r="J22" s="11" t="str">
        <f aca="false">IF(I22="","",H22*I22)</f>
        <v/>
      </c>
      <c r="K22" s="11" t="str">
        <f aca="false">'02 Riferimenti'!$I$22</f>
        <v>Frequenza</v>
      </c>
      <c r="L22" s="31" t="s">
        <v>238</v>
      </c>
    </row>
    <row r="23" customFormat="false" ht="25.5" hidden="false" customHeight="true" outlineLevel="0" collapsed="false">
      <c r="A23" s="11" t="n">
        <v>19</v>
      </c>
      <c r="B23" s="15" t="s">
        <v>176</v>
      </c>
      <c r="C23" s="38" t="str">
        <f aca="false">IF(OR('01 Paziente'!$B$22="",'01 Paziente'!$B$20=""),"n.d.",'01 Paziente'!$B$22*'01 Paziente'!$B$20)</f>
        <v>n.d.</v>
      </c>
      <c r="D23" s="11" t="s">
        <v>239</v>
      </c>
      <c r="E23" s="39" t="n">
        <f aca="false">IF('01 Paziente'!$B$8="M",'02 Riferimenti'!C23,'02 Riferimenti'!E23)</f>
        <v>6000</v>
      </c>
      <c r="F23" s="39" t="n">
        <f aca="false">IF('01 Paziente'!$B$8="M",'02 Riferimenti'!D23,'02 Riferimenti'!F23)</f>
        <v>12000</v>
      </c>
      <c r="G23" s="30" t="str">
        <f aca="false">IF(NOT(ISNUMBER(C23)),"n.d.",IF('02 Riferimenti'!$G$23="Informativo",IF(OR(C23&gt;F23,C23&lt;E23),"fuori fascia","in fascia"),IF(AND(C23&gt;F23,OR('02 Riferimenti'!$G$23="Alto",'02 Riferimenti'!$G$23="Bilaterale")),"Fuori (alto)",IF(AND(C23&lt;E23,OR('02 Riferimenti'!$G$23="Basso",'02 Riferimenti'!$G$23="Bilaterale")),"Fuori (basso)",IF(OR(C23&gt;F23,C23&lt;E23),"Fuori (non critico)",IF(AND('02 Riferimenti'!$G$23&lt;&gt;"Informativo",F23&lt;&gt;E23,OR(AND(OR('02 Riferimenti'!$G$23="Alto",'02 Riferimenti'!$G$23="Bilaterale"),(C23-E23)/(F23-E23)&gt;0.8),AND(OR('02 Riferimenti'!$G$23="Basso",'02 Riferimenti'!$G$23="Bilaterale"),(C23-E23)/(F23-E23)&lt;0.2))),"Borderline","Normale"))))))</f>
        <v>n.d.</v>
      </c>
      <c r="H23" s="11" t="n">
        <f aca="false">'02 Riferimenti'!$H$23</f>
        <v>2</v>
      </c>
      <c r="I23" s="30" t="str">
        <f aca="false">IF(OR(G23="n.d.",H23=0),"",IF(AND(C23&gt;F23,OR('02 Riferimenti'!$G$23="Alto",'02 Riferimenti'!$G$23="Bilaterale")),IF((C23-F23)/MAX(F23-E23,0.0001)&gt;0.1,3,2),IF(AND(C23&lt;E23,OR('02 Riferimenti'!$G$23="Basso",'02 Riferimenti'!$G$23="Bilaterale")),IF((E23-C23)/MAX(F23-E23,0.0001)&gt;0.1,3,2),IF(G23="Borderline",1,0))))</f>
        <v/>
      </c>
      <c r="J23" s="11" t="str">
        <f aca="false">IF(I23="","",H23*I23)</f>
        <v/>
      </c>
      <c r="K23" s="11" t="str">
        <f aca="false">'02 Riferimenti'!$I$23</f>
        <v>Frequenza</v>
      </c>
      <c r="L23" s="31" t="s">
        <v>240</v>
      </c>
    </row>
    <row r="24" customFormat="false" ht="25.5" hidden="false" customHeight="true" outlineLevel="0" collapsed="false">
      <c r="A24" s="11" t="n">
        <v>20</v>
      </c>
      <c r="B24" s="15" t="s">
        <v>178</v>
      </c>
      <c r="C24" s="32" t="str">
        <f aca="false">IF(OR('01 Paziente'!$B$23="",'01 Paziente'!$B$22=""),"n.d.",'01 Paziente'!$B$23*'01 Paziente'!$B$22/1000)</f>
        <v>n.d.</v>
      </c>
      <c r="D24" s="11" t="s">
        <v>241</v>
      </c>
      <c r="E24" s="33" t="n">
        <f aca="false">IF('01 Paziente'!$B$8="M",'02 Riferimenti'!C24,'02 Riferimenti'!E24)</f>
        <v>3.5</v>
      </c>
      <c r="F24" s="33" t="n">
        <f aca="false">IF('01 Paziente'!$B$8="M",'02 Riferimenti'!D24,'02 Riferimenti'!F24)</f>
        <v>6.9</v>
      </c>
      <c r="G24" s="30" t="str">
        <f aca="false">IF(NOT(ISNUMBER(C24)),"n.d.",IF('02 Riferimenti'!$G$24="Informativo",IF(OR(C24&gt;F24,C24&lt;E24),"fuori fascia","in fascia"),IF(AND(C24&gt;F24,OR('02 Riferimenti'!$G$24="Alto",'02 Riferimenti'!$G$24="Bilaterale")),"Fuori (alto)",IF(AND(C24&lt;E24,OR('02 Riferimenti'!$G$24="Basso",'02 Riferimenti'!$G$24="Bilaterale")),"Fuori (basso)",IF(OR(C24&gt;F24,C24&lt;E24),"Fuori (non critico)",IF(AND('02 Riferimenti'!$G$24&lt;&gt;"Informativo",F24&lt;&gt;E24,OR(AND(OR('02 Riferimenti'!$G$24="Alto",'02 Riferimenti'!$G$24="Bilaterale"),(C24-E24)/(F24-E24)&gt;0.8),AND(OR('02 Riferimenti'!$G$24="Basso",'02 Riferimenti'!$G$24="Bilaterale"),(C24-E24)/(F24-E24)&lt;0.2))),"Borderline","Normale"))))))</f>
        <v>n.d.</v>
      </c>
      <c r="H24" s="11" t="n">
        <f aca="false">'02 Riferimenti'!$H$24</f>
        <v>1</v>
      </c>
      <c r="I24" s="30" t="str">
        <f aca="false">IF(OR(G24="n.d.",H24=0),"",IF(AND(C24&gt;F24,OR('02 Riferimenti'!$G$24="Alto",'02 Riferimenti'!$G$24="Bilaterale")),IF((C24-F24)/MAX(F24-E24,0.0001)&gt;0.1,3,2),IF(AND(C24&lt;E24,OR('02 Riferimenti'!$G$24="Basso",'02 Riferimenti'!$G$24="Bilaterale")),IF((E24-C24)/MAX(F24-E24,0.0001)&gt;0.1,3,2),IF(G24="Borderline",1,0))))</f>
        <v/>
      </c>
      <c r="J24" s="11" t="str">
        <f aca="false">IF(I24="","",H24*I24)</f>
        <v/>
      </c>
      <c r="K24" s="11" t="str">
        <f aca="false">'02 Riferimenti'!$I$24</f>
        <v>Pompa</v>
      </c>
      <c r="L24" s="31" t="s">
        <v>242</v>
      </c>
    </row>
    <row r="25" customFormat="false" ht="25.5" hidden="false" customHeight="true" outlineLevel="0" collapsed="false">
      <c r="A25" s="11" t="n">
        <v>21</v>
      </c>
      <c r="B25" s="15" t="s">
        <v>181</v>
      </c>
      <c r="C25" s="28" t="str">
        <f aca="false">IF(OR('01 Paziente'!$B$23="",'01 Paziente'!$B$22="",'01 Paziente'!$B$56=""),"n.d.",'01 Paziente'!$B$23*'01 Paziente'!$B$22/1000/'01 Paziente'!$B$56)</f>
        <v>n.d.</v>
      </c>
      <c r="D25" s="11" t="s">
        <v>243</v>
      </c>
      <c r="E25" s="29" t="n">
        <f aca="false">IF('01 Paziente'!$B$8="M",'02 Riferimenti'!C25,'02 Riferimenti'!E25)</f>
        <v>2.2</v>
      </c>
      <c r="F25" s="29" t="n">
        <f aca="false">IF('01 Paziente'!$B$8="M",'02 Riferimenti'!D25,'02 Riferimenti'!F25)</f>
        <v>4</v>
      </c>
      <c r="G25" s="30" t="str">
        <f aca="false">IF(NOT(ISNUMBER(C25)),"n.d.",IF('02 Riferimenti'!$G$25="Informativo",IF(OR(C25&gt;F25,C25&lt;E25),"fuori fascia","in fascia"),IF(AND(C25&gt;F25,OR('02 Riferimenti'!$G$25="Alto",'02 Riferimenti'!$G$25="Bilaterale")),"Fuori (alto)",IF(AND(C25&lt;E25,OR('02 Riferimenti'!$G$25="Basso",'02 Riferimenti'!$G$25="Bilaterale")),"Fuori (basso)",IF(OR(C25&gt;F25,C25&lt;E25),"Fuori (non critico)",IF(AND('02 Riferimenti'!$G$25&lt;&gt;"Informativo",F25&lt;&gt;E25,OR(AND(OR('02 Riferimenti'!$G$25="Alto",'02 Riferimenti'!$G$25="Bilaterale"),(C25-E25)/(F25-E25)&gt;0.8),AND(OR('02 Riferimenti'!$G$25="Basso",'02 Riferimenti'!$G$25="Bilaterale"),(C25-E25)/(F25-E25)&lt;0.2))),"Borderline","Normale"))))))</f>
        <v>n.d.</v>
      </c>
      <c r="H25" s="11" t="n">
        <f aca="false">'02 Riferimenti'!$H$25</f>
        <v>1</v>
      </c>
      <c r="I25" s="30" t="str">
        <f aca="false">IF(OR(G25="n.d.",H25=0),"",IF(AND(C25&gt;F25,OR('02 Riferimenti'!$G$25="Alto",'02 Riferimenti'!$G$25="Bilaterale")),IF((C25-F25)/MAX(F25-E25,0.0001)&gt;0.1,3,2),IF(AND(C25&lt;E25,OR('02 Riferimenti'!$G$25="Basso",'02 Riferimenti'!$G$25="Bilaterale")),IF((E25-C25)/MAX(F25-E25,0.0001)&gt;0.1,3,2),IF(G25="Borderline",1,0))))</f>
        <v/>
      </c>
      <c r="J25" s="11" t="str">
        <f aca="false">IF(I25="","",H25*I25)</f>
        <v/>
      </c>
      <c r="K25" s="11" t="str">
        <f aca="false">'02 Riferimenti'!$I$25</f>
        <v>Pompa</v>
      </c>
      <c r="L25" s="31"/>
    </row>
    <row r="26" customFormat="false" ht="25.5" hidden="false" customHeight="true" outlineLevel="0" collapsed="false">
      <c r="A26" s="11" t="n">
        <v>22</v>
      </c>
      <c r="B26" s="15" t="s">
        <v>65</v>
      </c>
      <c r="C26" s="36" t="str">
        <f aca="false">IF('01 Paziente'!$B$26="","n.d.",'01 Paziente'!$B$26)</f>
        <v>n.d.</v>
      </c>
      <c r="D26" s="11" t="s">
        <v>66</v>
      </c>
      <c r="E26" s="37" t="n">
        <f aca="false">IF('01 Paziente'!$B$8="M",'02 Riferimenti'!C26,'02 Riferimenti'!E26)</f>
        <v>40</v>
      </c>
      <c r="F26" s="37" t="n">
        <f aca="false">IF('01 Paziente'!$B$8="M",'02 Riferimenti'!D26,'02 Riferimenti'!F26)</f>
        <v>90</v>
      </c>
      <c r="G26" s="30" t="str">
        <f aca="false">IF(NOT(ISNUMBER(C26)),"n.d.",IF('02 Riferimenti'!$G$26="Informativo",IF(OR(C26&gt;F26,C26&lt;E26),"fuori fascia","in fascia"),IF(AND(C26&gt;F26,OR('02 Riferimenti'!$G$26="Alto",'02 Riferimenti'!$G$26="Bilaterale")),"Fuori (alto)",IF(AND(C26&lt;E26,OR('02 Riferimenti'!$G$26="Basso",'02 Riferimenti'!$G$26="Bilaterale")),"Fuori (basso)",IF(OR(C26&gt;F26,C26&lt;E26),"Fuori (non critico)",IF(AND('02 Riferimenti'!$G$26&lt;&gt;"Informativo",F26&lt;&gt;E26,OR(AND(OR('02 Riferimenti'!$G$26="Alto",'02 Riferimenti'!$G$26="Bilaterale"),(C26-E26)/(F26-E26)&gt;0.8),AND(OR('02 Riferimenti'!$G$26="Basso",'02 Riferimenti'!$G$26="Bilaterale"),(C26-E26)/(F26-E26)&lt;0.2))),"Borderline","Normale"))))))</f>
        <v>n.d.</v>
      </c>
      <c r="H26" s="11" t="n">
        <f aca="false">'02 Riferimenti'!$H$26</f>
        <v>2</v>
      </c>
      <c r="I26" s="30" t="str">
        <f aca="false">IF(OR(G26="n.d.",H26=0),"",IF(AND(C26&gt;F26,OR('02 Riferimenti'!$G$26="Alto",'02 Riferimenti'!$G$26="Bilaterale")),IF((C26-F26)/MAX(F26-E26,0.0001)&gt;0.1,3,2),IF(AND(C26&lt;E26,OR('02 Riferimenti'!$G$26="Basso",'02 Riferimenti'!$G$26="Bilaterale")),IF((E26-C26)/MAX(F26-E26,0.0001)&gt;0.1,3,2),IF(G26="Borderline",1,0))))</f>
        <v/>
      </c>
      <c r="J26" s="11" t="str">
        <f aca="false">IF(I26="","",H26*I26)</f>
        <v/>
      </c>
      <c r="K26" s="11" t="str">
        <f aca="false">'02 Riferimenti'!$I$26</f>
        <v>HDL</v>
      </c>
      <c r="L26" s="31" t="s">
        <v>244</v>
      </c>
    </row>
    <row r="27" customFormat="false" ht="25.5" hidden="false" customHeight="true" outlineLevel="0" collapsed="false">
      <c r="A27" s="11" t="n">
        <v>23</v>
      </c>
      <c r="B27" s="15" t="s">
        <v>184</v>
      </c>
      <c r="C27" s="32" t="str">
        <f aca="false">IF(OR('01 Paziente'!$B$14="",'01 Paziente'!$B$27=""),"n.d.",('01 Paziente'!$B$14-IF('01 Paziente'!$B$8="M",65,58))*('01 Paziente'!$B$27/88.57))</f>
        <v>n.d.</v>
      </c>
      <c r="D27" s="11" t="s">
        <v>223</v>
      </c>
      <c r="E27" s="33" t="n">
        <f aca="false">IF('01 Paziente'!$B$8="M",'02 Riferimenti'!C27,'02 Riferimenti'!E27)</f>
        <v>0</v>
      </c>
      <c r="F27" s="33" t="n">
        <f aca="false">IF('01 Paziente'!$B$8="M",'02 Riferimenti'!D27,'02 Riferimenti'!F27)</f>
        <v>26.7</v>
      </c>
      <c r="G27" s="30" t="str">
        <f aca="false">IF(NOT(ISNUMBER(C27)),"n.d.",IF('02 Riferimenti'!$G$27="Informativo",IF(OR(C27&gt;F27,C27&lt;E27),"fuori fascia","in fascia"),IF(AND(C27&gt;F27,OR('02 Riferimenti'!$G$27="Alto",'02 Riferimenti'!$G$27="Bilaterale")),"Fuori (alto)",IF(AND(C27&lt;E27,OR('02 Riferimenti'!$G$27="Basso",'02 Riferimenti'!$G$27="Bilaterale")),"Fuori (basso)",IF(OR(C27&gt;F27,C27&lt;E27),"Fuori (non critico)",IF(AND('02 Riferimenti'!$G$27&lt;&gt;"Informativo",F27&lt;&gt;E27,OR(AND(OR('02 Riferimenti'!$G$27="Alto",'02 Riferimenti'!$G$27="Bilaterale"),(C27-E27)/(F27-E27)&gt;0.8),AND(OR('02 Riferimenti'!$G$27="Basso",'02 Riferimenti'!$G$27="Bilaterale"),(C27-E27)/(F27-E27)&lt;0.2))),"Borderline","Normale"))))))</f>
        <v>n.d.</v>
      </c>
      <c r="H27" s="11" t="n">
        <f aca="false">'02 Riferimenti'!$H$27</f>
        <v>3</v>
      </c>
      <c r="I27" s="30" t="str">
        <f aca="false">IF(OR(G27="n.d.",H27=0),"",IF(AND(C27&gt;F27,OR('02 Riferimenti'!$G$27="Alto",'02 Riferimenti'!$G$27="Bilaterale")),IF((C27-F27)/MAX(F27-E27,0.0001)&gt;0.1,3,2),IF(AND(C27&lt;E27,OR('02 Riferimenti'!$G$27="Basso",'02 Riferimenti'!$G$27="Bilaterale")),IF((E27-C27)/MAX(F27-E27,0.0001)&gt;0.1,3,2),IF(G27="Borderline",1,0))))</f>
        <v/>
      </c>
      <c r="J27" s="11" t="str">
        <f aca="false">IF(I27="","",H27*I27)</f>
        <v/>
      </c>
      <c r="K27" s="11" t="str">
        <f aca="false">'02 Riferimenti'!$I$27</f>
        <v>Vita</v>
      </c>
      <c r="L27" s="31" t="s">
        <v>245</v>
      </c>
    </row>
    <row r="28" customFormat="false" ht="25.5" hidden="false" customHeight="true" outlineLevel="0" collapsed="false">
      <c r="A28" s="11" t="n">
        <v>24</v>
      </c>
      <c r="B28" s="15" t="s">
        <v>186</v>
      </c>
      <c r="C28" s="28" t="str">
        <f aca="false">IF(OR('01 Paziente'!$B$14="",'01 Paziente'!$B$13="",'01 Paziente'!$B$27="",'01 Paziente'!$B$26=""),"n.d.",('01 Paziente'!$B$14/'01 Paziente'!$B$13)*(('01 Paziente'!$B$27/88.57)/('01 Paziente'!$B$26/38.67)))</f>
        <v>n.d.</v>
      </c>
      <c r="D28" s="11" t="s">
        <v>223</v>
      </c>
      <c r="E28" s="29" t="n">
        <f aca="false">IF('01 Paziente'!$B$8="M",'02 Riferimenti'!C28,'02 Riferimenti'!E28)</f>
        <v>0</v>
      </c>
      <c r="F28" s="29" t="n">
        <f aca="false">IF('01 Paziente'!$B$8="M",'02 Riferimenti'!D28,'02 Riferimenti'!F28)</f>
        <v>0.39</v>
      </c>
      <c r="G28" s="30" t="str">
        <f aca="false">IF(NOT(ISNUMBER(C28)),"n.d.",IF('02 Riferimenti'!$G$28="Informativo",IF(OR(C28&gt;F28,C28&lt;E28),"fuori fascia","in fascia"),IF(AND(C28&gt;F28,OR('02 Riferimenti'!$G$28="Alto",'02 Riferimenti'!$G$28="Bilaterale")),"Fuori (alto)",IF(AND(C28&lt;E28,OR('02 Riferimenti'!$G$28="Basso",'02 Riferimenti'!$G$28="Bilaterale")),"Fuori (basso)",IF(OR(C28&gt;F28,C28&lt;E28),"Fuori (non critico)",IF(AND('02 Riferimenti'!$G$28&lt;&gt;"Informativo",F28&lt;&gt;E28,OR(AND(OR('02 Riferimenti'!$G$28="Alto",'02 Riferimenti'!$G$28="Bilaterale"),(C28-E28)/(F28-E28)&gt;0.8),AND(OR('02 Riferimenti'!$G$28="Basso",'02 Riferimenti'!$G$28="Bilaterale"),(C28-E28)/(F28-E28)&lt;0.2))),"Borderline","Normale"))))))</f>
        <v>n.d.</v>
      </c>
      <c r="H28" s="11" t="n">
        <f aca="false">'02 Riferimenti'!$H$28</f>
        <v>2</v>
      </c>
      <c r="I28" s="30" t="str">
        <f aca="false">IF(OR(G28="n.d.",H28=0),"",IF(AND(C28&gt;F28,OR('02 Riferimenti'!$G$28="Alto",'02 Riferimenti'!$G$28="Bilaterale")),IF((C28-F28)/MAX(F28-E28,0.0001)&gt;0.1,3,2),IF(AND(C28&lt;E28,OR('02 Riferimenti'!$G$28="Basso",'02 Riferimenti'!$G$28="Bilaterale")),IF((E28-C28)/MAX(F28-E28,0.0001)&gt;0.1,3,2),IF(G28="Borderline",1,0))))</f>
        <v/>
      </c>
      <c r="J28" s="11" t="str">
        <f aca="false">IF(I28="","",H28*I28)</f>
        <v/>
      </c>
      <c r="K28" s="11" t="str">
        <f aca="false">'02 Riferimenti'!$I$28</f>
        <v>Vita</v>
      </c>
      <c r="L28" s="31" t="s">
        <v>246</v>
      </c>
    </row>
    <row r="29" customFormat="false" ht="39" hidden="false" customHeight="true" outlineLevel="0" collapsed="false">
      <c r="A29" s="11" t="n">
        <v>25</v>
      </c>
      <c r="B29" s="15" t="s">
        <v>188</v>
      </c>
      <c r="C29" s="28" t="str">
        <f aca="false">IF(OR('01 Paziente'!$B$14="",'01 Paziente'!$B$55="",'01 Paziente'!$B$27="",'01 Paziente'!$B$26=""),"n.d.",IF('01 Paziente'!$B$8="M",('01 Paziente'!$B$14/(39.68+1.88*'01 Paziente'!$B$55))*(('01 Paziente'!$B$27/88.57)/1.03)*(1.31/('01 Paziente'!$B$26/38.67)),('01 Paziente'!$B$14/(36.58+1.89*'01 Paziente'!$B$55))*(('01 Paziente'!$B$27/88.57)/0.81)*(1.52/('01 Paziente'!$B$26/38.67))))</f>
        <v>n.d.</v>
      </c>
      <c r="D29" s="11" t="s">
        <v>223</v>
      </c>
      <c r="E29" s="29" t="n">
        <f aca="false">IF('01 Paziente'!$B$8="M",'02 Riferimenti'!C29,'02 Riferimenti'!E29)</f>
        <v>0</v>
      </c>
      <c r="F29" s="29" t="n">
        <f aca="false">IF('01 Paziente'!$B$8="M",'02 Riferimenti'!D29,'02 Riferimenti'!F29)</f>
        <v>1.92</v>
      </c>
      <c r="G29" s="30" t="str">
        <f aca="false">IF(NOT(ISNUMBER(C29)),"n.d.",IF('02 Riferimenti'!$G$29="Informativo",IF(OR(C29&gt;F29,C29&lt;E29),"fuori fascia","in fascia"),IF(AND(C29&gt;F29,OR('02 Riferimenti'!$G$29="Alto",'02 Riferimenti'!$G$29="Bilaterale")),"Fuori (alto)",IF(AND(C29&lt;E29,OR('02 Riferimenti'!$G$29="Basso",'02 Riferimenti'!$G$29="Bilaterale")),"Fuori (basso)",IF(OR(C29&gt;F29,C29&lt;E29),"Fuori (non critico)",IF(AND('02 Riferimenti'!$G$29&lt;&gt;"Informativo",F29&lt;&gt;E29,OR(AND(OR('02 Riferimenti'!$G$29="Alto",'02 Riferimenti'!$G$29="Bilaterale"),(C29-E29)/(F29-E29)&gt;0.8),AND(OR('02 Riferimenti'!$G$29="Basso",'02 Riferimenti'!$G$29="Bilaterale"),(C29-E29)/(F29-E29)&lt;0.2))),"Borderline","Normale"))))))</f>
        <v>n.d.</v>
      </c>
      <c r="H29" s="11" t="n">
        <f aca="false">'02 Riferimenti'!$H$29</f>
        <v>3</v>
      </c>
      <c r="I29" s="30" t="str">
        <f aca="false">IF(OR(G29="n.d.",H29=0),"",IF(AND(C29&gt;F29,OR('02 Riferimenti'!$G$29="Alto",'02 Riferimenti'!$G$29="Bilaterale")),IF((C29-F29)/MAX(F29-E29,0.0001)&gt;0.1,3,2),IF(AND(C29&lt;E29,OR('02 Riferimenti'!$G$29="Basso",'02 Riferimenti'!$G$29="Bilaterale")),IF((E29-C29)/MAX(F29-E29,0.0001)&gt;0.1,3,2),IF(G29="Borderline",1,0))))</f>
        <v/>
      </c>
      <c r="J29" s="11" t="str">
        <f aca="false">IF(I29="","",H29*I29)</f>
        <v/>
      </c>
      <c r="K29" s="11" t="str">
        <f aca="false">'02 Riferimenti'!$I$29</f>
        <v>Vita</v>
      </c>
      <c r="L29" s="31" t="s">
        <v>247</v>
      </c>
    </row>
    <row r="30" customFormat="false" ht="25.5" hidden="false" customHeight="true" outlineLevel="0" collapsed="false">
      <c r="A30" s="11" t="n">
        <v>26</v>
      </c>
      <c r="B30" s="15" t="s">
        <v>69</v>
      </c>
      <c r="C30" s="32" t="str">
        <f aca="false">IF('01 Paziente'!$B$28="","n.d.",'01 Paziente'!$B$28)</f>
        <v>n.d.</v>
      </c>
      <c r="D30" s="11" t="s">
        <v>66</v>
      </c>
      <c r="E30" s="33" t="n">
        <f aca="false">IF('01 Paziente'!$B$8="M",'02 Riferimenti'!C30,'02 Riferimenti'!E30)</f>
        <v>3.5</v>
      </c>
      <c r="F30" s="33" t="n">
        <f aca="false">IF('01 Paziente'!$B$8="M",'02 Riferimenti'!D30,'02 Riferimenti'!F30)</f>
        <v>7.2</v>
      </c>
      <c r="G30" s="30" t="str">
        <f aca="false">IF(NOT(ISNUMBER(C30)),"n.d.",IF('02 Riferimenti'!$G$30="Informativo",IF(OR(C30&gt;F30,C30&lt;E30),"fuori fascia","in fascia"),IF(AND(C30&gt;F30,OR('02 Riferimenti'!$G$30="Alto",'02 Riferimenti'!$G$30="Bilaterale")),"Fuori (alto)",IF(AND(C30&lt;E30,OR('02 Riferimenti'!$G$30="Basso",'02 Riferimenti'!$G$30="Bilaterale")),"Fuori (basso)",IF(OR(C30&gt;F30,C30&lt;E30),"Fuori (non critico)",IF(AND('02 Riferimenti'!$G$30&lt;&gt;"Informativo",F30&lt;&gt;E30,OR(AND(OR('02 Riferimenti'!$G$30="Alto",'02 Riferimenti'!$G$30="Bilaterale"),(C30-E30)/(F30-E30)&gt;0.8),AND(OR('02 Riferimenti'!$G$30="Basso",'02 Riferimenti'!$G$30="Bilaterale"),(C30-E30)/(F30-E30)&lt;0.2))),"Borderline","Normale"))))))</f>
        <v>n.d.</v>
      </c>
      <c r="H30" s="11" t="n">
        <f aca="false">'02 Riferimenti'!$H$30</f>
        <v>2</v>
      </c>
      <c r="I30" s="30" t="str">
        <f aca="false">IF(OR(G30="n.d.",H30=0),"",IF(AND(C30&gt;F30,OR('02 Riferimenti'!$G$30="Alto",'02 Riferimenti'!$G$30="Bilaterale")),IF((C30-F30)/MAX(F30-E30,0.0001)&gt;0.1,3,2),IF(AND(C30&lt;E30,OR('02 Riferimenti'!$G$30="Basso",'02 Riferimenti'!$G$30="Bilaterale")),IF((E30-C30)/MAX(F30-E30,0.0001)&gt;0.1,3,2),IF(G30="Borderline",1,0))))</f>
        <v/>
      </c>
      <c r="J30" s="11" t="str">
        <f aca="false">IF(I30="","",H30*I30)</f>
        <v/>
      </c>
      <c r="K30" s="11" t="str">
        <f aca="false">'02 Riferimenti'!$I$30</f>
        <v>Uricemia</v>
      </c>
      <c r="L30" s="31" t="s">
        <v>248</v>
      </c>
    </row>
    <row r="31" customFormat="false" ht="25.5" hidden="false" customHeight="true" outlineLevel="0" collapsed="false">
      <c r="A31" s="11" t="n">
        <v>27</v>
      </c>
      <c r="B31" s="15" t="s">
        <v>191</v>
      </c>
      <c r="C31" s="32" t="str">
        <f aca="false">IF(OR('01 Paziente'!$B$28="",'01 Paziente'!$B$26=""),"n.d.",'01 Paziente'!$B$28/'01 Paziente'!$B$26*100)</f>
        <v>n.d.</v>
      </c>
      <c r="D31" s="11" t="s">
        <v>223</v>
      </c>
      <c r="E31" s="33" t="n">
        <f aca="false">IF('01 Paziente'!$B$8="M",'02 Riferimenti'!C31,'02 Riferimenti'!E31)</f>
        <v>0</v>
      </c>
      <c r="F31" s="33" t="n">
        <f aca="false">IF('01 Paziente'!$B$8="M",'02 Riferimenti'!D31,'02 Riferimenti'!F31)</f>
        <v>12.2</v>
      </c>
      <c r="G31" s="30" t="str">
        <f aca="false">IF(NOT(ISNUMBER(C31)),"n.d.",IF('02 Riferimenti'!$G$31="Informativo",IF(OR(C31&gt;F31,C31&lt;E31),"fuori fascia","in fascia"),IF(AND(C31&gt;F31,OR('02 Riferimenti'!$G$31="Alto",'02 Riferimenti'!$G$31="Bilaterale")),"Fuori (alto)",IF(AND(C31&lt;E31,OR('02 Riferimenti'!$G$31="Basso",'02 Riferimenti'!$G$31="Bilaterale")),"Fuori (basso)",IF(OR(C31&gt;F31,C31&lt;E31),"Fuori (non critico)",IF(AND('02 Riferimenti'!$G$31&lt;&gt;"Informativo",F31&lt;&gt;E31,OR(AND(OR('02 Riferimenti'!$G$31="Alto",'02 Riferimenti'!$G$31="Bilaterale"),(C31-E31)/(F31-E31)&gt;0.8),AND(OR('02 Riferimenti'!$G$31="Basso",'02 Riferimenti'!$G$31="Bilaterale"),(C31-E31)/(F31-E31)&lt;0.2))),"Borderline","Normale"))))))</f>
        <v>n.d.</v>
      </c>
      <c r="H31" s="11" t="n">
        <f aca="false">'02 Riferimenti'!$H$31</f>
        <v>2</v>
      </c>
      <c r="I31" s="30" t="str">
        <f aca="false">IF(OR(G31="n.d.",H31=0),"",IF(AND(C31&gt;F31,OR('02 Riferimenti'!$G$31="Alto",'02 Riferimenti'!$G$31="Bilaterale")),IF((C31-F31)/MAX(F31-E31,0.0001)&gt;0.1,3,2),IF(AND(C31&lt;E31,OR('02 Riferimenti'!$G$31="Basso",'02 Riferimenti'!$G$31="Bilaterale")),IF((E31-C31)/MAX(F31-E31,0.0001)&gt;0.1,3,2),IF(G31="Borderline",1,0))))</f>
        <v/>
      </c>
      <c r="J31" s="11" t="str">
        <f aca="false">IF(I31="","",H31*I31)</f>
        <v/>
      </c>
      <c r="K31" s="11" t="str">
        <f aca="false">'02 Riferimenti'!$I$31</f>
        <v>Uricemia</v>
      </c>
      <c r="L31" s="31" t="s">
        <v>249</v>
      </c>
    </row>
    <row r="32" customFormat="false" ht="25.5" hidden="false" customHeight="true" outlineLevel="0" collapsed="false">
      <c r="A32" s="11" t="n">
        <v>28</v>
      </c>
      <c r="B32" s="15" t="s">
        <v>70</v>
      </c>
      <c r="C32" s="32" t="str">
        <f aca="false">IF('01 Paziente'!$B$29="","n.d.",'01 Paziente'!$B$29)</f>
        <v>n.d.</v>
      </c>
      <c r="D32" s="11" t="s">
        <v>71</v>
      </c>
      <c r="E32" s="33" t="n">
        <f aca="false">IF('01 Paziente'!$B$8="M",'02 Riferimenti'!C32,'02 Riferimenti'!E32)</f>
        <v>3</v>
      </c>
      <c r="F32" s="33" t="n">
        <f aca="false">IF('01 Paziente'!$B$8="M",'02 Riferimenti'!D32,'02 Riferimenti'!F32)</f>
        <v>15</v>
      </c>
      <c r="G32" s="30" t="str">
        <f aca="false">IF(NOT(ISNUMBER(C32)),"n.d.",IF('02 Riferimenti'!$G$32="Informativo",IF(OR(C32&gt;F32,C32&lt;E32),"fuori fascia","in fascia"),IF(AND(C32&gt;F32,OR('02 Riferimenti'!$G$32="Alto",'02 Riferimenti'!$G$32="Bilaterale")),"Fuori (alto)",IF(AND(C32&lt;E32,OR('02 Riferimenti'!$G$32="Basso",'02 Riferimenti'!$G$32="Bilaterale")),"Fuori (basso)",IF(OR(C32&gt;F32,C32&lt;E32),"Fuori (non critico)",IF(AND('02 Riferimenti'!$G$32&lt;&gt;"Informativo",F32&lt;&gt;E32,OR(AND(OR('02 Riferimenti'!$G$32="Alto",'02 Riferimenti'!$G$32="Bilaterale"),(C32-E32)/(F32-E32)&gt;0.8),AND(OR('02 Riferimenti'!$G$32="Basso",'02 Riferimenti'!$G$32="Bilaterale"),(C32-E32)/(F32-E32)&lt;0.2))),"Borderline","Normale"))))))</f>
        <v>n.d.</v>
      </c>
      <c r="H32" s="11" t="n">
        <f aca="false">'02 Riferimenti'!$H$32</f>
        <v>2</v>
      </c>
      <c r="I32" s="30" t="str">
        <f aca="false">IF(OR(G32="n.d.",H32=0),"",IF(AND(C32&gt;F32,OR('02 Riferimenti'!$G$32="Alto",'02 Riferimenti'!$G$32="Bilaterale")),IF((C32-F32)/MAX(F32-E32,0.0001)&gt;0.1,3,2),IF(AND(C32&lt;E32,OR('02 Riferimenti'!$G$32="Basso",'02 Riferimenti'!$G$32="Bilaterale")),IF((E32-C32)/MAX(F32-E32,0.0001)&gt;0.1,3,2),IF(G32="Borderline",1,0))))</f>
        <v/>
      </c>
      <c r="J32" s="11" t="str">
        <f aca="false">IF(I32="","",H32*I32)</f>
        <v/>
      </c>
      <c r="K32" s="11" t="str">
        <f aca="false">'02 Riferimenti'!$I$32</f>
        <v>Omocisteina</v>
      </c>
      <c r="L32" s="31" t="s">
        <v>250</v>
      </c>
    </row>
    <row r="33" customFormat="false" ht="51.75" hidden="false" customHeight="true" outlineLevel="0" collapsed="false">
      <c r="A33" s="11" t="n">
        <v>29</v>
      </c>
      <c r="B33" s="15" t="s">
        <v>192</v>
      </c>
      <c r="C33" s="32" t="str">
        <f aca="false">IF(OR('01 Paziente'!$B$32="",'01 Paziente'!$B$33=""),"n.d.",'01 Paziente'!$B$32/('01 Paziente'!$B$33*1.404)*100)</f>
        <v>n.d.</v>
      </c>
      <c r="D33" s="11" t="s">
        <v>88</v>
      </c>
      <c r="E33" s="33" t="n">
        <f aca="false">IF('01 Paziente'!$B$8="M",'02 Riferimenti'!C33,'02 Riferimenti'!E33)</f>
        <v>20</v>
      </c>
      <c r="F33" s="33" t="n">
        <f aca="false">IF('01 Paziente'!$B$8="M",'02 Riferimenti'!D33,'02 Riferimenti'!F33)</f>
        <v>48</v>
      </c>
      <c r="G33" s="30" t="str">
        <f aca="false">IF(NOT(ISNUMBER(C33)),"n.d.",IF('02 Riferimenti'!$G$33="Informativo",IF(OR(C33&gt;F33,C33&lt;E33),"fuori fascia","in fascia"),IF(AND(C33&gt;F33,OR('02 Riferimenti'!$G$33="Alto",'02 Riferimenti'!$G$33="Bilaterale")),"Fuori (alto)",IF(AND(C33&lt;E33,OR('02 Riferimenti'!$G$33="Basso",'02 Riferimenti'!$G$33="Bilaterale")),"Fuori (basso)",IF(OR(C33&gt;F33,C33&lt;E33),"Fuori (non critico)",IF(AND('02 Riferimenti'!$G$33&lt;&gt;"Informativo",F33&lt;&gt;E33,OR(AND(OR('02 Riferimenti'!$G$33="Alto",'02 Riferimenti'!$G$33="Bilaterale"),(C33-E33)/(F33-E33)&gt;0.8),AND(OR('02 Riferimenti'!$G$33="Basso",'02 Riferimenti'!$G$33="Bilaterale"),(C33-E33)/(F33-E33)&lt;0.2))),"Borderline","Normale"))))))</f>
        <v>n.d.</v>
      </c>
      <c r="H33" s="11" t="n">
        <f aca="false">'02 Riferimenti'!$H$33</f>
        <v>3</v>
      </c>
      <c r="I33" s="30" t="str">
        <f aca="false">IF(OR(G33="n.d.",H33=0),"",IF(AND(C33&gt;F33,OR('02 Riferimenti'!$G$33="Alto",'02 Riferimenti'!$G$33="Bilaterale")),IF((C33-F33)/MAX(F33-E33,0.0001)&gt;0.1,3,2),IF(AND(C33&lt;E33,OR('02 Riferimenti'!$G$33="Basso",'02 Riferimenti'!$G$33="Bilaterale")),IF((E33-C33)/MAX(F33-E33,0.0001)&gt;0.1,3,2),IF(G33="Borderline",1,0))))</f>
        <v/>
      </c>
      <c r="J33" s="11" t="str">
        <f aca="false">IF(I33="","",H33*I33)</f>
        <v/>
      </c>
      <c r="K33" s="11" t="str">
        <f aca="false">'02 Riferimenti'!$I$33</f>
        <v>Ferro</v>
      </c>
      <c r="L33" s="31" t="s">
        <v>251</v>
      </c>
    </row>
    <row r="34" customFormat="false" ht="25.5" hidden="false" customHeight="true" outlineLevel="0" collapsed="false">
      <c r="A34" s="11" t="n">
        <v>30</v>
      </c>
      <c r="B34" s="15" t="s">
        <v>77</v>
      </c>
      <c r="C34" s="36" t="str">
        <f aca="false">IF('01 Paziente'!$B$34="","n.d.",'01 Paziente'!$B$34)</f>
        <v>n.d.</v>
      </c>
      <c r="D34" s="11" t="s">
        <v>78</v>
      </c>
      <c r="E34" s="37" t="n">
        <f aca="false">IF('01 Paziente'!$B$8="M",'02 Riferimenti'!C34,'02 Riferimenti'!E34)</f>
        <v>30</v>
      </c>
      <c r="F34" s="37" t="n">
        <f aca="false">IF('01 Paziente'!$B$8="M",'02 Riferimenti'!D34,'02 Riferimenti'!F34)</f>
        <v>400</v>
      </c>
      <c r="G34" s="30" t="str">
        <f aca="false">IF(NOT(ISNUMBER(C34)),"n.d.",IF('02 Riferimenti'!$G$34="Informativo",IF(OR(C34&gt;F34,C34&lt;E34),"fuori fascia","in fascia"),IF(AND(C34&gt;F34,OR('02 Riferimenti'!$G$34="Alto",'02 Riferimenti'!$G$34="Bilaterale")),"Fuori (alto)",IF(AND(C34&lt;E34,OR('02 Riferimenti'!$G$34="Basso",'02 Riferimenti'!$G$34="Bilaterale")),"Fuori (basso)",IF(OR(C34&gt;F34,C34&lt;E34),"Fuori (non critico)",IF(AND('02 Riferimenti'!$G$34&lt;&gt;"Informativo",F34&lt;&gt;E34,OR(AND(OR('02 Riferimenti'!$G$34="Alto",'02 Riferimenti'!$G$34="Bilaterale"),(C34-E34)/(F34-E34)&gt;0.8),AND(OR('02 Riferimenti'!$G$34="Basso",'02 Riferimenti'!$G$34="Bilaterale"),(C34-E34)/(F34-E34)&lt;0.2))),"Borderline","Normale"))))))</f>
        <v>n.d.</v>
      </c>
      <c r="H34" s="11" t="n">
        <f aca="false">'02 Riferimenti'!$H$34</f>
        <v>2</v>
      </c>
      <c r="I34" s="30" t="str">
        <f aca="false">IF(OR(G34="n.d.",H34=0),"",IF(AND(C34&gt;F34,OR('02 Riferimenti'!$G$34="Alto",'02 Riferimenti'!$G$34="Bilaterale")),IF((C34-F34)/MAX(F34-E34,0.0001)&gt;0.1,3,2),IF(AND(C34&lt;E34,OR('02 Riferimenti'!$G$34="Basso",'02 Riferimenti'!$G$34="Bilaterale")),IF((E34-C34)/MAX(F34-E34,0.0001)&gt;0.1,3,2),IF(G34="Borderline",1,0))))</f>
        <v/>
      </c>
      <c r="J34" s="11" t="str">
        <f aca="false">IF(I34="","",H34*I34)</f>
        <v/>
      </c>
      <c r="K34" s="11" t="str">
        <f aca="false">'02 Riferimenti'!$I$34</f>
        <v>Ferro</v>
      </c>
      <c r="L34" s="31" t="s">
        <v>252</v>
      </c>
    </row>
    <row r="35" customFormat="false" ht="25.5" hidden="false" customHeight="true" outlineLevel="0" collapsed="false">
      <c r="A35" s="11" t="n">
        <v>31</v>
      </c>
      <c r="B35" s="15" t="s">
        <v>85</v>
      </c>
      <c r="C35" s="32" t="str">
        <f aca="false">IF('01 Paziente'!$B$39="","n.d.",'01 Paziente'!$B$39)</f>
        <v>n.d.</v>
      </c>
      <c r="D35" s="11" t="s">
        <v>86</v>
      </c>
      <c r="E35" s="33" t="n">
        <f aca="false">IF('01 Paziente'!$B$8="M",'02 Riferimenti'!C35,'02 Riferimenti'!E35)</f>
        <v>13</v>
      </c>
      <c r="F35" s="33" t="n">
        <f aca="false">IF('01 Paziente'!$B$8="M",'02 Riferimenti'!D35,'02 Riferimenti'!F35)</f>
        <v>17.5</v>
      </c>
      <c r="G35" s="30" t="str">
        <f aca="false">IF(NOT(ISNUMBER(C35)),"n.d.",IF('02 Riferimenti'!$G$35="Informativo",IF(OR(C35&gt;F35,C35&lt;E35),"fuori fascia","in fascia"),IF(AND(C35&gt;F35,OR('02 Riferimenti'!$G$35="Alto",'02 Riferimenti'!$G$35="Bilaterale")),"Fuori (alto)",IF(AND(C35&lt;E35,OR('02 Riferimenti'!$G$35="Basso",'02 Riferimenti'!$G$35="Bilaterale")),"Fuori (basso)",IF(OR(C35&gt;F35,C35&lt;E35),"Fuori (non critico)",IF(AND('02 Riferimenti'!$G$35&lt;&gt;"Informativo",F35&lt;&gt;E35,OR(AND(OR('02 Riferimenti'!$G$35="Alto",'02 Riferimenti'!$G$35="Bilaterale"),(C35-E35)/(F35-E35)&gt;0.8),AND(OR('02 Riferimenti'!$G$35="Basso",'02 Riferimenti'!$G$35="Bilaterale"),(C35-E35)/(F35-E35)&lt;0.2))),"Borderline","Normale"))))))</f>
        <v>n.d.</v>
      </c>
      <c r="H35" s="11" t="n">
        <f aca="false">'02 Riferimenti'!$H$35</f>
        <v>3</v>
      </c>
      <c r="I35" s="30" t="str">
        <f aca="false">IF(OR(G35="n.d.",H35=0),"",IF(AND(C35&gt;F35,OR('02 Riferimenti'!$G$35="Alto",'02 Riferimenti'!$G$35="Bilaterale")),IF((C35-F35)/MAX(F35-E35,0.0001)&gt;0.1,3,2),IF(AND(C35&lt;E35,OR('02 Riferimenti'!$G$35="Basso",'02 Riferimenti'!$G$35="Bilaterale")),IF((E35-C35)/MAX(F35-E35,0.0001)&gt;0.1,3,2),IF(G35="Borderline",1,0))))</f>
        <v/>
      </c>
      <c r="J35" s="11" t="str">
        <f aca="false">IF(I35="","",H35*I35)</f>
        <v/>
      </c>
      <c r="K35" s="11" t="str">
        <f aca="false">'02 Riferimenti'!$I$35</f>
        <v>Emoglobina</v>
      </c>
      <c r="L35" s="31" t="s">
        <v>253</v>
      </c>
    </row>
    <row r="36" customFormat="false" ht="25.5" hidden="false" customHeight="true" outlineLevel="0" collapsed="false">
      <c r="A36" s="11" t="n">
        <v>32</v>
      </c>
      <c r="B36" s="15" t="s">
        <v>195</v>
      </c>
      <c r="C36" s="28" t="str">
        <f aca="false">IF(OR('01 Paziente'!$B$39="",'01 Paziente'!$B$40=""),"n.d.",'01 Paziente'!$B$39/'01 Paziente'!$B$40)</f>
        <v>n.d.</v>
      </c>
      <c r="D36" s="11" t="s">
        <v>223</v>
      </c>
      <c r="E36" s="29" t="n">
        <f aca="false">IF('01 Paziente'!$B$8="M",'02 Riferimenti'!C36,'02 Riferimenti'!E36)</f>
        <v>1</v>
      </c>
      <c r="F36" s="29" t="n">
        <f aca="false">IF('01 Paziente'!$B$8="M",'02 Riferimenti'!D36,'02 Riferimenti'!F36)</f>
        <v>1.6</v>
      </c>
      <c r="G36" s="30" t="str">
        <f aca="false">IF(NOT(ISNUMBER(C36)),"n.d.",IF('02 Riferimenti'!$G$36="Informativo",IF(OR(C36&gt;F36,C36&lt;E36),"fuori fascia","in fascia"),IF(AND(C36&gt;F36,OR('02 Riferimenti'!$G$36="Alto",'02 Riferimenti'!$G$36="Bilaterale")),"Fuori (alto)",IF(AND(C36&lt;E36,OR('02 Riferimenti'!$G$36="Basso",'02 Riferimenti'!$G$36="Bilaterale")),"Fuori (basso)",IF(OR(C36&gt;F36,C36&lt;E36),"Fuori (non critico)",IF(AND('02 Riferimenti'!$G$36&lt;&gt;"Informativo",F36&lt;&gt;E36,OR(AND(OR('02 Riferimenti'!$G$36="Alto",'02 Riferimenti'!$G$36="Bilaterale"),(C36-E36)/(F36-E36)&gt;0.8),AND(OR('02 Riferimenti'!$G$36="Basso",'02 Riferimenti'!$G$36="Bilaterale"),(C36-E36)/(F36-E36)&lt;0.2))),"Borderline","Normale"))))))</f>
        <v>n.d.</v>
      </c>
      <c r="H36" s="11" t="n">
        <f aca="false">'02 Riferimenti'!$H$36</f>
        <v>2</v>
      </c>
      <c r="I36" s="30" t="str">
        <f aca="false">IF(OR(G36="n.d.",H36=0),"",IF(AND(C36&gt;F36,OR('02 Riferimenti'!$G$36="Alto",'02 Riferimenti'!$G$36="Bilaterale")),IF((C36-F36)/MAX(F36-E36,0.0001)&gt;0.1,3,2),IF(AND(C36&lt;E36,OR('02 Riferimenti'!$G$36="Basso",'02 Riferimenti'!$G$36="Bilaterale")),IF((E36-C36)/MAX(F36-E36,0.0001)&gt;0.1,3,2),IF(G36="Borderline",1,0))))</f>
        <v/>
      </c>
      <c r="J36" s="11" t="str">
        <f aca="false">IF(I36="","",H36*I36)</f>
        <v/>
      </c>
      <c r="K36" s="11" t="str">
        <f aca="false">'02 Riferimenti'!$I$36</f>
        <v>Emoglobina</v>
      </c>
      <c r="L36" s="31" t="s">
        <v>254</v>
      </c>
    </row>
    <row r="37" customFormat="false" ht="39" hidden="false" customHeight="true" outlineLevel="0" collapsed="false">
      <c r="A37" s="11" t="n">
        <v>33</v>
      </c>
      <c r="B37" s="15" t="s">
        <v>196</v>
      </c>
      <c r="C37" s="28" t="str">
        <f aca="false">IF('01 Paziente'!$B$37="","n.d.",'01 Paziente'!$B$37)</f>
        <v>n.d.</v>
      </c>
      <c r="D37" s="11" t="s">
        <v>66</v>
      </c>
      <c r="E37" s="29" t="n">
        <f aca="false">IF('01 Paziente'!$B$8="M",'02 Riferimenti'!C37,'02 Riferimenti'!E37)</f>
        <v>0</v>
      </c>
      <c r="F37" s="29" t="n">
        <f aca="false">IF('01 Paziente'!$B$8="M",'02 Riferimenti'!D37,'02 Riferimenti'!F37)</f>
        <v>0.5</v>
      </c>
      <c r="G37" s="30" t="str">
        <f aca="false">IF(NOT(ISNUMBER(C37)),"n.d.",IF('02 Riferimenti'!$G$37="Informativo",IF(OR(C37&gt;F37,C37&lt;E37),"fuori fascia","in fascia"),IF(AND(C37&gt;F37,OR('02 Riferimenti'!$G$37="Alto",'02 Riferimenti'!$G$37="Bilaterale")),"Fuori (alto)",IF(AND(C37&lt;E37,OR('02 Riferimenti'!$G$37="Basso",'02 Riferimenti'!$G$37="Bilaterale")),"Fuori (basso)",IF(OR(C37&gt;F37,C37&lt;E37),"Fuori (non critico)",IF(AND('02 Riferimenti'!$G$37&lt;&gt;"Informativo",F37&lt;&gt;E37,OR(AND(OR('02 Riferimenti'!$G$37="Alto",'02 Riferimenti'!$G$37="Bilaterale"),(C37-E37)/(F37-E37)&gt;0.8),AND(OR('02 Riferimenti'!$G$37="Basso",'02 Riferimenti'!$G$37="Bilaterale"),(C37-E37)/(F37-E37)&lt;0.2))),"Borderline","Normale"))))))</f>
        <v>n.d.</v>
      </c>
      <c r="H37" s="11" t="n">
        <f aca="false">'02 Riferimenti'!$H$37</f>
        <v>0</v>
      </c>
      <c r="I37" s="30" t="str">
        <f aca="false">IF(OR(G37="n.d.",H37=0),"",IF(AND(C37&gt;F37,OR('02 Riferimenti'!$G$37="Alto",'02 Riferimenti'!$G$37="Bilaterale")),IF((C37-F37)/MAX(F37-E37,0.0001)&gt;0.1,3,2),IF(AND(C37&lt;E37,OR('02 Riferimenti'!$G$37="Basso",'02 Riferimenti'!$G$37="Bilaterale")),IF((E37-C37)/MAX(F37-E37,0.0001)&gt;0.1,3,2),IF(G37="Borderline",1,0))))</f>
        <v/>
      </c>
      <c r="J37" s="11" t="str">
        <f aca="false">IF(I37="","",H37*I37)</f>
        <v/>
      </c>
      <c r="K37" s="11" t="str">
        <f aca="false">'02 Riferimenti'!$I$37</f>
        <v>Infiammazione classica</v>
      </c>
      <c r="L37" s="31" t="s">
        <v>255</v>
      </c>
    </row>
    <row r="38" customFormat="false" ht="25.5" hidden="false" customHeight="true" outlineLevel="0" collapsed="false">
      <c r="A38" s="11" t="n">
        <v>34</v>
      </c>
      <c r="B38" s="15" t="s">
        <v>83</v>
      </c>
      <c r="C38" s="36" t="str">
        <f aca="false">IF('01 Paziente'!$B$38="","n.d.",'01 Paziente'!$B$38)</f>
        <v>n.d.</v>
      </c>
      <c r="D38" s="11" t="s">
        <v>84</v>
      </c>
      <c r="E38" s="37" t="n">
        <f aca="false">IF('01 Paziente'!$B$8="M",'02 Riferimenti'!C38,'02 Riferimenti'!E38)</f>
        <v>1</v>
      </c>
      <c r="F38" s="37" t="n">
        <f aca="false">IF('01 Paziente'!$B$8="M",'02 Riferimenti'!D38,'02 Riferimenti'!F38)</f>
        <v>15</v>
      </c>
      <c r="G38" s="30" t="str">
        <f aca="false">IF(NOT(ISNUMBER(C38)),"n.d.",IF('02 Riferimenti'!$G$38="Informativo",IF(OR(C38&gt;F38,C38&lt;E38),"fuori fascia","in fascia"),IF(AND(C38&gt;F38,OR('02 Riferimenti'!$G$38="Alto",'02 Riferimenti'!$G$38="Bilaterale")),"Fuori (alto)",IF(AND(C38&lt;E38,OR('02 Riferimenti'!$G$38="Basso",'02 Riferimenti'!$G$38="Bilaterale")),"Fuori (basso)",IF(OR(C38&gt;F38,C38&lt;E38),"Fuori (non critico)",IF(AND('02 Riferimenti'!$G$38&lt;&gt;"Informativo",F38&lt;&gt;E38,OR(AND(OR('02 Riferimenti'!$G$38="Alto",'02 Riferimenti'!$G$38="Bilaterale"),(C38-E38)/(F38-E38)&gt;0.8),AND(OR('02 Riferimenti'!$G$38="Basso",'02 Riferimenti'!$G$38="Bilaterale"),(C38-E38)/(F38-E38)&lt;0.2))),"Borderline","Normale"))))))</f>
        <v>n.d.</v>
      </c>
      <c r="H38" s="11" t="n">
        <f aca="false">'02 Riferimenti'!$H$38</f>
        <v>0</v>
      </c>
      <c r="I38" s="30" t="str">
        <f aca="false">IF(OR(G38="n.d.",H38=0),"",IF(AND(C38&gt;F38,OR('02 Riferimenti'!$G$38="Alto",'02 Riferimenti'!$G$38="Bilaterale")),IF((C38-F38)/MAX(F38-E38,0.0001)&gt;0.1,3,2),IF(AND(C38&lt;E38,OR('02 Riferimenti'!$G$38="Basso",'02 Riferimenti'!$G$38="Bilaterale")),IF((E38-C38)/MAX(F38-E38,0.0001)&gt;0.1,3,2),IF(G38="Borderline",1,0))))</f>
        <v/>
      </c>
      <c r="J38" s="11" t="str">
        <f aca="false">IF(I38="","",H38*I38)</f>
        <v/>
      </c>
      <c r="K38" s="11" t="str">
        <f aca="false">'02 Riferimenti'!$I$38</f>
        <v>Infiammazione classica</v>
      </c>
      <c r="L38" s="31" t="s">
        <v>256</v>
      </c>
    </row>
    <row r="39" customFormat="false" ht="25.5" hidden="false" customHeight="true" outlineLevel="0" collapsed="false">
      <c r="A39" s="11" t="n">
        <v>35</v>
      </c>
      <c r="B39" s="15" t="s">
        <v>198</v>
      </c>
      <c r="C39" s="28" t="str">
        <f aca="false">IF(OR('01 Paziente'!$B$43="",'01 Paziente'!$B$44=""),"n.d.",'01 Paziente'!$B$43/'01 Paziente'!$B$44)</f>
        <v>n.d.</v>
      </c>
      <c r="D39" s="11" t="s">
        <v>223</v>
      </c>
      <c r="E39" s="29" t="n">
        <f aca="false">IF('01 Paziente'!$B$8="M",'02 Riferimenti'!C39,'02 Riferimenti'!E39)</f>
        <v>0.73</v>
      </c>
      <c r="F39" s="29" t="n">
        <f aca="false">IF('01 Paziente'!$B$8="M",'02 Riferimenti'!D39,'02 Riferimenti'!F39)</f>
        <v>3.33</v>
      </c>
      <c r="G39" s="30" t="str">
        <f aca="false">IF(NOT(ISNUMBER(C39)),"n.d.",IF('02 Riferimenti'!$G$39="Informativo",IF(OR(C39&gt;F39,C39&lt;E39),"fuori fascia","in fascia"),IF(AND(C39&gt;F39,OR('02 Riferimenti'!$G$39="Alto",'02 Riferimenti'!$G$39="Bilaterale")),"Fuori (alto)",IF(AND(C39&lt;E39,OR('02 Riferimenti'!$G$39="Basso",'02 Riferimenti'!$G$39="Bilaterale")),"Fuori (basso)",IF(OR(C39&gt;F39,C39&lt;E39),"Fuori (non critico)",IF(AND('02 Riferimenti'!$G$39&lt;&gt;"Informativo",F39&lt;&gt;E39,OR(AND(OR('02 Riferimenti'!$G$39="Alto",'02 Riferimenti'!$G$39="Bilaterale"),(C39-E39)/(F39-E39)&gt;0.8),AND(OR('02 Riferimenti'!$G$39="Basso",'02 Riferimenti'!$G$39="Bilaterale"),(C39-E39)/(F39-E39)&lt;0.2))),"Borderline","Normale"))))))</f>
        <v>n.d.</v>
      </c>
      <c r="H39" s="11" t="n">
        <f aca="false">'02 Riferimenti'!$H$39</f>
        <v>2</v>
      </c>
      <c r="I39" s="30" t="str">
        <f aca="false">IF(OR(G39="n.d.",H39=0),"",IF(AND(C39&gt;F39,OR('02 Riferimenti'!$G$39="Alto",'02 Riferimenti'!$G$39="Bilaterale")),IF((C39-F39)/MAX(F39-E39,0.0001)&gt;0.1,3,2),IF(AND(C39&lt;E39,OR('02 Riferimenti'!$G$39="Basso",'02 Riferimenti'!$G$39="Bilaterale")),IF((E39-C39)/MAX(F39-E39,0.0001)&gt;0.1,3,2),IF(G39="Borderline",1,0))))</f>
        <v/>
      </c>
      <c r="J39" s="11" t="str">
        <f aca="false">IF(I39="","",H39*I39)</f>
        <v/>
      </c>
      <c r="K39" s="11" t="str">
        <f aca="false">'02 Riferimenti'!$I$39</f>
        <v>Linfociti</v>
      </c>
      <c r="L39" s="31" t="s">
        <v>257</v>
      </c>
    </row>
    <row r="40" customFormat="false" ht="25.5" hidden="false" customHeight="true" outlineLevel="0" collapsed="false">
      <c r="A40" s="11" t="n">
        <v>36</v>
      </c>
      <c r="B40" s="15" t="s">
        <v>200</v>
      </c>
      <c r="C40" s="28" t="str">
        <f aca="false">IF(OR('01 Paziente'!$B$45="",'01 Paziente'!$B$44=""),"n.d.",'01 Paziente'!$B$45/'01 Paziente'!$B$44)</f>
        <v>n.d.</v>
      </c>
      <c r="D40" s="11" t="s">
        <v>223</v>
      </c>
      <c r="E40" s="29" t="n">
        <f aca="false">IF('01 Paziente'!$B$8="M",'02 Riferimenti'!C40,'02 Riferimenti'!E40)</f>
        <v>0.12</v>
      </c>
      <c r="F40" s="29" t="n">
        <f aca="false">IF('01 Paziente'!$B$8="M",'02 Riferimenti'!D40,'02 Riferimenti'!F40)</f>
        <v>0.38</v>
      </c>
      <c r="G40" s="30" t="str">
        <f aca="false">IF(NOT(ISNUMBER(C40)),"n.d.",IF('02 Riferimenti'!$G$40="Informativo",IF(OR(C40&gt;F40,C40&lt;E40),"fuori fascia","in fascia"),IF(AND(C40&gt;F40,OR('02 Riferimenti'!$G$40="Alto",'02 Riferimenti'!$G$40="Bilaterale")),"Fuori (alto)",IF(AND(C40&lt;E40,OR('02 Riferimenti'!$G$40="Basso",'02 Riferimenti'!$G$40="Bilaterale")),"Fuori (basso)",IF(OR(C40&gt;F40,C40&lt;E40),"Fuori (non critico)",IF(AND('02 Riferimenti'!$G$40&lt;&gt;"Informativo",F40&lt;&gt;E40,OR(AND(OR('02 Riferimenti'!$G$40="Alto",'02 Riferimenti'!$G$40="Bilaterale"),(C40-E40)/(F40-E40)&gt;0.8),AND(OR('02 Riferimenti'!$G$40="Basso",'02 Riferimenti'!$G$40="Bilaterale"),(C40-E40)/(F40-E40)&lt;0.2))),"Borderline","Normale"))))))</f>
        <v>n.d.</v>
      </c>
      <c r="H40" s="11" t="n">
        <f aca="false">'02 Riferimenti'!$H$40</f>
        <v>2</v>
      </c>
      <c r="I40" s="30" t="str">
        <f aca="false">IF(OR(G40="n.d.",H40=0),"",IF(AND(C40&gt;F40,OR('02 Riferimenti'!$G$40="Alto",'02 Riferimenti'!$G$40="Bilaterale")),IF((C40-F40)/MAX(F40-E40,0.0001)&gt;0.1,3,2),IF(AND(C40&lt;E40,OR('02 Riferimenti'!$G$40="Basso",'02 Riferimenti'!$G$40="Bilaterale")),IF((E40-C40)/MAX(F40-E40,0.0001)&gt;0.1,3,2),IF(G40="Borderline",1,0))))</f>
        <v/>
      </c>
      <c r="J40" s="11" t="str">
        <f aca="false">IF(I40="","",H40*I40)</f>
        <v/>
      </c>
      <c r="K40" s="11" t="str">
        <f aca="false">'02 Riferimenti'!$I$40</f>
        <v>Linfociti</v>
      </c>
      <c r="L40" s="31"/>
    </row>
    <row r="41" customFormat="false" ht="25.5" hidden="false" customHeight="true" outlineLevel="0" collapsed="false">
      <c r="A41" s="11" t="n">
        <v>37</v>
      </c>
      <c r="B41" s="15" t="s">
        <v>201</v>
      </c>
      <c r="C41" s="36" t="str">
        <f aca="false">IF(OR('01 Paziente'!$B$41="",'01 Paziente'!$B$44=""),"n.d.",'01 Paziente'!$B$41/'01 Paziente'!$B$44)</f>
        <v>n.d.</v>
      </c>
      <c r="D41" s="11" t="s">
        <v>223</v>
      </c>
      <c r="E41" s="37" t="n">
        <f aca="false">IF('01 Paziente'!$B$8="M",'02 Riferimenti'!C41,'02 Riferimenti'!E41)</f>
        <v>63</v>
      </c>
      <c r="F41" s="37" t="n">
        <f aca="false">IF('01 Paziente'!$B$8="M",'02 Riferimenti'!D41,'02 Riferimenti'!F41)</f>
        <v>209</v>
      </c>
      <c r="G41" s="30" t="str">
        <f aca="false">IF(NOT(ISNUMBER(C41)),"n.d.",IF('02 Riferimenti'!$G$41="Informativo",IF(OR(C41&gt;F41,C41&lt;E41),"fuori fascia","in fascia"),IF(AND(C41&gt;F41,OR('02 Riferimenti'!$G$41="Alto",'02 Riferimenti'!$G$41="Bilaterale")),"Fuori (alto)",IF(AND(C41&lt;E41,OR('02 Riferimenti'!$G$41="Basso",'02 Riferimenti'!$G$41="Bilaterale")),"Fuori (basso)",IF(OR(C41&gt;F41,C41&lt;E41),"Fuori (non critico)",IF(AND('02 Riferimenti'!$G$41&lt;&gt;"Informativo",F41&lt;&gt;E41,OR(AND(OR('02 Riferimenti'!$G$41="Alto",'02 Riferimenti'!$G$41="Bilaterale"),(C41-E41)/(F41-E41)&gt;0.8),AND(OR('02 Riferimenti'!$G$41="Basso",'02 Riferimenti'!$G$41="Bilaterale"),(C41-E41)/(F41-E41)&lt;0.2))),"Borderline","Normale"))))))</f>
        <v>n.d.</v>
      </c>
      <c r="H41" s="11" t="n">
        <f aca="false">'02 Riferimenti'!$H$41</f>
        <v>1</v>
      </c>
      <c r="I41" s="30" t="str">
        <f aca="false">IF(OR(G41="n.d.",H41=0),"",IF(AND(C41&gt;F41,OR('02 Riferimenti'!$G$41="Alto",'02 Riferimenti'!$G$41="Bilaterale")),IF((C41-F41)/MAX(F41-E41,0.0001)&gt;0.1,3,2),IF(AND(C41&lt;E41,OR('02 Riferimenti'!$G$41="Basso",'02 Riferimenti'!$G$41="Bilaterale")),IF((E41-C41)/MAX(F41-E41,0.0001)&gt;0.1,3,2),IF(G41="Borderline",1,0))))</f>
        <v/>
      </c>
      <c r="J41" s="11" t="str">
        <f aca="false">IF(I41="","",H41*I41)</f>
        <v/>
      </c>
      <c r="K41" s="11" t="str">
        <f aca="false">'02 Riferimenti'!$I$41</f>
        <v>Linfociti</v>
      </c>
      <c r="L41" s="31"/>
    </row>
    <row r="42" customFormat="false" ht="25.5" hidden="false" customHeight="true" outlineLevel="0" collapsed="false">
      <c r="A42" s="11" t="n">
        <v>38</v>
      </c>
      <c r="B42" s="15" t="s">
        <v>202</v>
      </c>
      <c r="C42" s="36" t="str">
        <f aca="false">IF(OR('01 Paziente'!$B$41="",'01 Paziente'!$B$43="",'01 Paziente'!$B$44=""),"n.d.",'01 Paziente'!$B$41*'01 Paziente'!$B$43/'01 Paziente'!$B$44)</f>
        <v>n.d.</v>
      </c>
      <c r="D42" s="11" t="s">
        <v>223</v>
      </c>
      <c r="E42" s="37" t="n">
        <f aca="false">IF('01 Paziente'!$B$8="M",'02 Riferimenti'!C42,'02 Riferimenti'!E42)</f>
        <v>131</v>
      </c>
      <c r="F42" s="37" t="n">
        <f aca="false">IF('01 Paziente'!$B$8="M",'02 Riferimenti'!D42,'02 Riferimenti'!F42)</f>
        <v>901</v>
      </c>
      <c r="G42" s="30" t="str">
        <f aca="false">IF(NOT(ISNUMBER(C42)),"n.d.",IF('02 Riferimenti'!$G$42="Informativo",IF(OR(C42&gt;F42,C42&lt;E42),"fuori fascia","in fascia"),IF(AND(C42&gt;F42,OR('02 Riferimenti'!$G$42="Alto",'02 Riferimenti'!$G$42="Bilaterale")),"Fuori (alto)",IF(AND(C42&lt;E42,OR('02 Riferimenti'!$G$42="Basso",'02 Riferimenti'!$G$42="Bilaterale")),"Fuori (basso)",IF(OR(C42&gt;F42,C42&lt;E42),"Fuori (non critico)",IF(AND('02 Riferimenti'!$G$42&lt;&gt;"Informativo",F42&lt;&gt;E42,OR(AND(OR('02 Riferimenti'!$G$42="Alto",'02 Riferimenti'!$G$42="Bilaterale"),(C42-E42)/(F42-E42)&gt;0.8),AND(OR('02 Riferimenti'!$G$42="Basso",'02 Riferimenti'!$G$42="Bilaterale"),(C42-E42)/(F42-E42)&lt;0.2))),"Borderline","Normale"))))))</f>
        <v>n.d.</v>
      </c>
      <c r="H42" s="11" t="n">
        <f aca="false">'02 Riferimenti'!$H$42</f>
        <v>2</v>
      </c>
      <c r="I42" s="30" t="str">
        <f aca="false">IF(OR(G42="n.d.",H42=0),"",IF(AND(C42&gt;F42,OR('02 Riferimenti'!$G$42="Alto",'02 Riferimenti'!$G$42="Bilaterale")),IF((C42-F42)/MAX(F42-E42,0.0001)&gt;0.1,3,2),IF(AND(C42&lt;E42,OR('02 Riferimenti'!$G$42="Basso",'02 Riferimenti'!$G$42="Bilaterale")),IF((E42-C42)/MAX(F42-E42,0.0001)&gt;0.1,3,2),IF(G42="Borderline",1,0))))</f>
        <v/>
      </c>
      <c r="J42" s="11" t="str">
        <f aca="false">IF(I42="","",H42*I42)</f>
        <v/>
      </c>
      <c r="K42" s="11" t="str">
        <f aca="false">'02 Riferimenti'!$I$42</f>
        <v>Linfociti</v>
      </c>
      <c r="L42" s="31" t="s">
        <v>258</v>
      </c>
    </row>
    <row r="43" customFormat="false" ht="39" hidden="false" customHeight="true" outlineLevel="0" collapsed="false">
      <c r="A43" s="11" t="n">
        <v>39</v>
      </c>
      <c r="B43" s="15" t="s">
        <v>204</v>
      </c>
      <c r="C43" s="28" t="str">
        <f aca="false">IF(OR('01 Paziente'!$B$43="",'01 Paziente'!$B$45="",'01 Paziente'!$B$44=""),"n.d.",'01 Paziente'!$B$43*'01 Paziente'!$B$45/'01 Paziente'!$B$44)</f>
        <v>n.d.</v>
      </c>
      <c r="D43" s="11" t="s">
        <v>223</v>
      </c>
      <c r="E43" s="29" t="n">
        <f aca="false">IF('01 Paziente'!$B$8="M",'02 Riferimenti'!C43,'02 Riferimenti'!E43)</f>
        <v>0</v>
      </c>
      <c r="F43" s="29" t="n">
        <f aca="false">IF('01 Paziente'!$B$8="M",'02 Riferimenti'!D43,'02 Riferimenti'!F43)</f>
        <v>1.2</v>
      </c>
      <c r="G43" s="30" t="str">
        <f aca="false">IF(NOT(ISNUMBER(C43)),"n.d.",IF('02 Riferimenti'!$G$43="Informativo",IF(OR(C43&gt;F43,C43&lt;E43),"fuori fascia","in fascia"),IF(AND(C43&gt;F43,OR('02 Riferimenti'!$G$43="Alto",'02 Riferimenti'!$G$43="Bilaterale")),"Fuori (alto)",IF(AND(C43&lt;E43,OR('02 Riferimenti'!$G$43="Basso",'02 Riferimenti'!$G$43="Bilaterale")),"Fuori (basso)",IF(OR(C43&gt;F43,C43&lt;E43),"Fuori (non critico)",IF(AND('02 Riferimenti'!$G$43&lt;&gt;"Informativo",F43&lt;&gt;E43,OR(AND(OR('02 Riferimenti'!$G$43="Alto",'02 Riferimenti'!$G$43="Bilaterale"),(C43-E43)/(F43-E43)&gt;0.8),AND(OR('02 Riferimenti'!$G$43="Basso",'02 Riferimenti'!$G$43="Bilaterale"),(C43-E43)/(F43-E43)&lt;0.2))),"Borderline","Normale"))))))</f>
        <v>n.d.</v>
      </c>
      <c r="H43" s="11" t="n">
        <f aca="false">'02 Riferimenti'!$H$43</f>
        <v>3</v>
      </c>
      <c r="I43" s="30" t="str">
        <f aca="false">IF(OR(G43="n.d.",H43=0),"",IF(AND(C43&gt;F43,OR('02 Riferimenti'!$G$43="Alto",'02 Riferimenti'!$G$43="Bilaterale")),IF((C43-F43)/MAX(F43-E43,0.0001)&gt;0.1,3,2),IF(AND(C43&lt;E43,OR('02 Riferimenti'!$G$43="Basso",'02 Riferimenti'!$G$43="Bilaterale")),IF((E43-C43)/MAX(F43-E43,0.0001)&gt;0.1,3,2),IF(G43="Borderline",1,0))))</f>
        <v/>
      </c>
      <c r="J43" s="11" t="str">
        <f aca="false">IF(I43="","",H43*I43)</f>
        <v/>
      </c>
      <c r="K43" s="11" t="str">
        <f aca="false">'02 Riferimenti'!$I$43</f>
        <v>Linfociti</v>
      </c>
      <c r="L43" s="31" t="s">
        <v>259</v>
      </c>
    </row>
    <row r="44" customFormat="false" ht="25.5" hidden="false" customHeight="true" outlineLevel="0" collapsed="false">
      <c r="A44" s="11" t="n">
        <v>40</v>
      </c>
      <c r="B44" s="15" t="s">
        <v>205</v>
      </c>
      <c r="C44" s="28" t="str">
        <f aca="false">IF(OR('01 Paziente'!$B$43="",'01 Paziente'!$B$45="",'01 Paziente'!$B$41="",'01 Paziente'!$B$44=""),"n.d.",'01 Paziente'!$B$43*'01 Paziente'!$B$45*'01 Paziente'!$B$41/'01 Paziente'!$B$44)</f>
        <v>n.d.</v>
      </c>
      <c r="D44" s="11" t="s">
        <v>223</v>
      </c>
      <c r="E44" s="29" t="n">
        <f aca="false">IF('01 Paziente'!$B$8="M",'02 Riferimenti'!C44,'02 Riferimenti'!E44)</f>
        <v>0</v>
      </c>
      <c r="F44" s="29" t="n">
        <f aca="false">IF('01 Paziente'!$B$8="M",'02 Riferimenti'!D44,'02 Riferimenti'!F44)</f>
        <v>400</v>
      </c>
      <c r="G44" s="30" t="str">
        <f aca="false">IF(NOT(ISNUMBER(C44)),"n.d.",IF('02 Riferimenti'!$G$44="Informativo",IF(OR(C44&gt;F44,C44&lt;E44),"fuori fascia","in fascia"),IF(AND(C44&gt;F44,OR('02 Riferimenti'!$G$44="Alto",'02 Riferimenti'!$G$44="Bilaterale")),"Fuori (alto)",IF(AND(C44&lt;E44,OR('02 Riferimenti'!$G$44="Basso",'02 Riferimenti'!$G$44="Bilaterale")),"Fuori (basso)",IF(OR(C44&gt;F44,C44&lt;E44),"Fuori (non critico)",IF(AND('02 Riferimenti'!$G$44&lt;&gt;"Informativo",F44&lt;&gt;E44,OR(AND(OR('02 Riferimenti'!$G$44="Alto",'02 Riferimenti'!$G$44="Bilaterale"),(C44-E44)/(F44-E44)&gt;0.8),AND(OR('02 Riferimenti'!$G$44="Basso",'02 Riferimenti'!$G$44="Bilaterale"),(C44-E44)/(F44-E44)&lt;0.2))),"Borderline","Normale"))))))</f>
        <v>n.d.</v>
      </c>
      <c r="H44" s="11" t="n">
        <f aca="false">'02 Riferimenti'!$H$44</f>
        <v>3</v>
      </c>
      <c r="I44" s="30" t="str">
        <f aca="false">IF(OR(G44="n.d.",H44=0),"",IF(AND(C44&gt;F44,OR('02 Riferimenti'!$G$44="Alto",'02 Riferimenti'!$G$44="Bilaterale")),IF((C44-F44)/MAX(F44-E44,0.0001)&gt;0.1,3,2),IF(AND(C44&lt;E44,OR('02 Riferimenti'!$G$44="Basso",'02 Riferimenti'!$G$44="Bilaterale")),IF((E44-C44)/MAX(F44-E44,0.0001)&gt;0.1,3,2),IF(G44="Borderline",1,0))))</f>
        <v/>
      </c>
      <c r="J44" s="11" t="str">
        <f aca="false">IF(I44="","",H44*I44)</f>
        <v/>
      </c>
      <c r="K44" s="11" t="str">
        <f aca="false">'02 Riferimenti'!$I$44</f>
        <v>Linfociti</v>
      </c>
      <c r="L44" s="31" t="s">
        <v>260</v>
      </c>
    </row>
    <row r="45" customFormat="false" ht="25.5" hidden="false" customHeight="true" outlineLevel="0" collapsed="false">
      <c r="A45" s="11" t="n">
        <v>41</v>
      </c>
      <c r="B45" s="15" t="s">
        <v>207</v>
      </c>
      <c r="C45" s="32" t="str">
        <f aca="false">IF(OR('01 Paziente'!$B$45="",'01 Paziente'!$B$26=""),"n.d.",'01 Paziente'!$B$45/'01 Paziente'!$B$26*1000)</f>
        <v>n.d.</v>
      </c>
      <c r="D45" s="11" t="s">
        <v>261</v>
      </c>
      <c r="E45" s="33" t="n">
        <f aca="false">IF('01 Paziente'!$B$8="M",'02 Riferimenti'!C45,'02 Riferimenti'!E45)</f>
        <v>0</v>
      </c>
      <c r="F45" s="33" t="n">
        <f aca="false">IF('01 Paziente'!$B$8="M",'02 Riferimenti'!D45,'02 Riferimenti'!F45)</f>
        <v>13</v>
      </c>
      <c r="G45" s="30" t="str">
        <f aca="false">IF(NOT(ISNUMBER(C45)),"n.d.",IF('02 Riferimenti'!$G$45="Informativo",IF(OR(C45&gt;F45,C45&lt;E45),"fuori fascia","in fascia"),IF(AND(C45&gt;F45,OR('02 Riferimenti'!$G$45="Alto",'02 Riferimenti'!$G$45="Bilaterale")),"Fuori (alto)",IF(AND(C45&lt;E45,OR('02 Riferimenti'!$G$45="Basso",'02 Riferimenti'!$G$45="Bilaterale")),"Fuori (basso)",IF(OR(C45&gt;F45,C45&lt;E45),"Fuori (non critico)",IF(AND('02 Riferimenti'!$G$45&lt;&gt;"Informativo",F45&lt;&gt;E45,OR(AND(OR('02 Riferimenti'!$G$45="Alto",'02 Riferimenti'!$G$45="Bilaterale"),(C45-E45)/(F45-E45)&gt;0.8),AND(OR('02 Riferimenti'!$G$45="Basso",'02 Riferimenti'!$G$45="Bilaterale"),(C45-E45)/(F45-E45)&lt;0.2))),"Borderline","Normale"))))))</f>
        <v>n.d.</v>
      </c>
      <c r="H45" s="11" t="n">
        <f aca="false">'02 Riferimenti'!$H$45</f>
        <v>3</v>
      </c>
      <c r="I45" s="30" t="str">
        <f aca="false">IF(OR(G45="n.d.",H45=0),"",IF(AND(C45&gt;F45,OR('02 Riferimenti'!$G$45="Alto",'02 Riferimenti'!$G$45="Bilaterale")),IF((C45-F45)/MAX(F45-E45,0.0001)&gt;0.1,3,2),IF(AND(C45&lt;E45,OR('02 Riferimenti'!$G$45="Basso",'02 Riferimenti'!$G$45="Bilaterale")),IF((E45-C45)/MAX(F45-E45,0.0001)&gt;0.1,3,2),IF(G45="Borderline",1,0))))</f>
        <v/>
      </c>
      <c r="J45" s="11" t="str">
        <f aca="false">IF(I45="","",H45*I45)</f>
        <v/>
      </c>
      <c r="K45" s="11" t="str">
        <f aca="false">'02 Riferimenti'!$I$45</f>
        <v>HDL</v>
      </c>
      <c r="L45" s="31" t="s">
        <v>262</v>
      </c>
    </row>
    <row r="46" customFormat="false" ht="25.5" hidden="false" customHeight="true" outlineLevel="0" collapsed="false">
      <c r="A46" s="11" t="n">
        <v>42</v>
      </c>
      <c r="B46" s="15" t="s">
        <v>209</v>
      </c>
      <c r="C46" s="28" t="str">
        <f aca="false">IF(OR('01 Paziente'!$B$42="",'01 Paziente'!$B$44=""),"n.d.",'01 Paziente'!$B$42/'01 Paziente'!$B$44)</f>
        <v>n.d.</v>
      </c>
      <c r="D46" s="11" t="s">
        <v>223</v>
      </c>
      <c r="E46" s="29" t="n">
        <f aca="false">IF('01 Paziente'!$B$8="M",'02 Riferimenti'!C46,'02 Riferimenti'!E46)</f>
        <v>0</v>
      </c>
      <c r="F46" s="29" t="n">
        <f aca="false">IF('01 Paziente'!$B$8="M",'02 Riferimenti'!D46,'02 Riferimenti'!F46)</f>
        <v>5.55</v>
      </c>
      <c r="G46" s="30" t="str">
        <f aca="false">IF(NOT(ISNUMBER(C46)),"n.d.",IF('02 Riferimenti'!$G$46="Informativo",IF(OR(C46&gt;F46,C46&lt;E46),"fuori fascia","in fascia"),IF(AND(C46&gt;F46,OR('02 Riferimenti'!$G$46="Alto",'02 Riferimenti'!$G$46="Bilaterale")),"Fuori (alto)",IF(AND(C46&lt;E46,OR('02 Riferimenti'!$G$46="Basso",'02 Riferimenti'!$G$46="Bilaterale")),"Fuori (basso)",IF(OR(C46&gt;F46,C46&lt;E46),"Fuori (non critico)",IF(AND('02 Riferimenti'!$G$46&lt;&gt;"Informativo",F46&lt;&gt;E46,OR(AND(OR('02 Riferimenti'!$G$46="Alto",'02 Riferimenti'!$G$46="Bilaterale"),(C46-E46)/(F46-E46)&gt;0.8),AND(OR('02 Riferimenti'!$G$46="Basso",'02 Riferimenti'!$G$46="Bilaterale"),(C46-E46)/(F46-E46)&lt;0.2))),"Borderline","Normale"))))))</f>
        <v>n.d.</v>
      </c>
      <c r="H46" s="11" t="n">
        <f aca="false">'02 Riferimenti'!$H$46</f>
        <v>1</v>
      </c>
      <c r="I46" s="30" t="str">
        <f aca="false">IF(OR(G46="n.d.",H46=0),"",IF(AND(C46&gt;F46,OR('02 Riferimenti'!$G$46="Alto",'02 Riferimenti'!$G$46="Bilaterale")),IF((C46-F46)/MAX(F46-E46,0.0001)&gt;0.1,3,2),IF(AND(C46&lt;E46,OR('02 Riferimenti'!$G$46="Basso",'02 Riferimenti'!$G$46="Bilaterale")),IF((E46-C46)/MAX(F46-E46,0.0001)&gt;0.1,3,2),IF(G46="Borderline",1,0))))</f>
        <v/>
      </c>
      <c r="J46" s="11" t="str">
        <f aca="false">IF(I46="","",H46*I46)</f>
        <v/>
      </c>
      <c r="K46" s="11" t="str">
        <f aca="false">'02 Riferimenti'!$I$46</f>
        <v>Linfociti</v>
      </c>
      <c r="L46" s="31"/>
    </row>
    <row r="47" customFormat="false" ht="25.5" hidden="false" customHeight="true" outlineLevel="0" collapsed="false">
      <c r="A47" s="11" t="n">
        <v>43</v>
      </c>
      <c r="B47" s="15" t="s">
        <v>211</v>
      </c>
      <c r="C47" s="28" t="str">
        <f aca="false">IF(OR('01 Paziente'!$B$42="",'01 Paziente'!$B$41=""),"n.d.",'01 Paziente'!$B$42/'01 Paziente'!$B$41*100)</f>
        <v>n.d.</v>
      </c>
      <c r="D47" s="11" t="s">
        <v>223</v>
      </c>
      <c r="E47" s="29" t="n">
        <f aca="false">IF('01 Paziente'!$B$8="M",'02 Riferimenti'!C47,'02 Riferimenti'!E47)</f>
        <v>0</v>
      </c>
      <c r="F47" s="29" t="n">
        <f aca="false">IF('01 Paziente'!$B$8="M",'02 Riferimenti'!D47,'02 Riferimenti'!F47)</f>
        <v>6</v>
      </c>
      <c r="G47" s="30" t="str">
        <f aca="false">IF(NOT(ISNUMBER(C47)),"n.d.",IF('02 Riferimenti'!$G$47="Informativo",IF(OR(C47&gt;F47,C47&lt;E47),"fuori fascia","in fascia"),IF(AND(C47&gt;F47,OR('02 Riferimenti'!$G$47="Alto",'02 Riferimenti'!$G$47="Bilaterale")),"Fuori (alto)",IF(AND(C47&lt;E47,OR('02 Riferimenti'!$G$47="Basso",'02 Riferimenti'!$G$47="Bilaterale")),"Fuori (basso)",IF(OR(C47&gt;F47,C47&lt;E47),"Fuori (non critico)",IF(AND('02 Riferimenti'!$G$47&lt;&gt;"Informativo",F47&lt;&gt;E47,OR(AND(OR('02 Riferimenti'!$G$47="Alto",'02 Riferimenti'!$G$47="Bilaterale"),(C47-E47)/(F47-E47)&gt;0.8),AND(OR('02 Riferimenti'!$G$47="Basso",'02 Riferimenti'!$G$47="Bilaterale"),(C47-E47)/(F47-E47)&lt;0.2))),"Borderline","Normale"))))))</f>
        <v>n.d.</v>
      </c>
      <c r="H47" s="11" t="n">
        <f aca="false">'02 Riferimenti'!$H$47</f>
        <v>1</v>
      </c>
      <c r="I47" s="30" t="str">
        <f aca="false">IF(OR(G47="n.d.",H47=0),"",IF(AND(C47&gt;F47,OR('02 Riferimenti'!$G$47="Alto",'02 Riferimenti'!$G$47="Bilaterale")),IF((C47-F47)/MAX(F47-E47,0.0001)&gt;0.1,3,2),IF(AND(C47&lt;E47,OR('02 Riferimenti'!$G$47="Basso",'02 Riferimenti'!$G$47="Bilaterale")),IF((E47-C47)/MAX(F47-E47,0.0001)&gt;0.1,3,2),IF(G47="Borderline",1,0))))</f>
        <v/>
      </c>
      <c r="J47" s="11" t="str">
        <f aca="false">IF(I47="","",H47*I47)</f>
        <v/>
      </c>
      <c r="K47" s="11" t="str">
        <f aca="false">'02 Riferimenti'!$I$47</f>
        <v>Piastrine</v>
      </c>
      <c r="L47" s="31"/>
    </row>
  </sheetData>
  <autoFilter ref="A4:L47"/>
  <conditionalFormatting sqref="A5:L47">
    <cfRule type="expression" priority="2" aboveAverage="0" equalAverage="0" bottom="0" percent="0" rank="0" text="" dxfId="4">
      <formula>OR($G5="Fuori (alto)",$G5="Fuori (basso)")</formula>
    </cfRule>
    <cfRule type="expression" priority="3" aboveAverage="0" equalAverage="0" bottom="0" percent="0" rank="0" text="" dxfId="5">
      <formula>$G5="Borderline"</formula>
    </cfRule>
    <cfRule type="expression" priority="4" aboveAverage="0" equalAverage="0" bottom="0" percent="0" rank="0" text="" dxfId="6">
      <formula>$G5="n.d."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15" hidden="false" customHeight="true" outlineLevel="0" collapsed="false">
      <c r="B4" s="40" t="s">
        <v>265</v>
      </c>
      <c r="C4" s="41" t="str">
        <f aca="false">IF(OR(F32=0,F32=""),"n.d.",E32/F32*100)</f>
        <v>n.d.</v>
      </c>
      <c r="D4" s="41"/>
      <c r="E4" s="42" t="str">
        <f aca="false">IF(NOT(ISNUMBER(C4)),"dati insufficienti",IF(C11&lt;0.4,"dati insufficienti",IF(C4&lt;15,"BASSO",IF(C4&lt;35,"LIEVE",IF(C4&lt;55,"MODERATO",IF(C4&lt;75,"ELEVATO","ALTO"))))))</f>
        <v>dati insufficienti</v>
      </c>
      <c r="F4" s="42"/>
      <c r="G4" s="18" t="s">
        <v>266</v>
      </c>
    </row>
    <row r="5" customFormat="false" ht="15" hidden="false" customHeight="false" outlineLevel="0" collapsed="false">
      <c r="B5" s="43"/>
      <c r="C5" s="41"/>
      <c r="D5" s="41"/>
      <c r="E5" s="42"/>
      <c r="F5" s="42"/>
      <c r="G5" s="18"/>
    </row>
    <row r="6" customFormat="false" ht="15" hidden="false" customHeight="false" outlineLevel="0" collapsed="false">
      <c r="B6" s="43"/>
      <c r="C6" s="41"/>
      <c r="D6" s="41"/>
      <c r="E6" s="42"/>
      <c r="F6" s="42"/>
      <c r="G6" s="18"/>
    </row>
    <row r="8" customFormat="false" ht="15" hidden="false" customHeight="false" outlineLevel="0" collapsed="false">
      <c r="B8" s="44" t="s">
        <v>267</v>
      </c>
    </row>
    <row r="9" customFormat="false" ht="15" hidden="false" customHeight="false" outlineLevel="0" collapsed="false">
      <c r="B9" s="9" t="s">
        <v>268</v>
      </c>
      <c r="C9" s="36" t="n">
        <f aca="false">COUNTIFS('03 Indici'!$G$5:$G$47,"&lt;&gt;n.d.")</f>
        <v>0</v>
      </c>
      <c r="D9" s="43"/>
      <c r="E9" s="43"/>
      <c r="F9" s="43"/>
      <c r="G9" s="43"/>
    </row>
    <row r="10" customFormat="false" ht="15" hidden="false" customHeight="false" outlineLevel="0" collapsed="false">
      <c r="B10" s="9" t="s">
        <v>269</v>
      </c>
      <c r="C10" s="36" t="n">
        <f aca="false">COUNTIF('03 Indici'!$G$5:$G$47,"n.d.")</f>
        <v>43</v>
      </c>
      <c r="D10" s="43"/>
      <c r="E10" s="43"/>
      <c r="F10" s="43"/>
      <c r="G10" s="43"/>
    </row>
    <row r="11" customFormat="false" ht="15" hidden="false" customHeight="false" outlineLevel="0" collapsed="false">
      <c r="B11" s="9" t="s">
        <v>270</v>
      </c>
      <c r="C11" s="45" t="n">
        <f aca="false">C9/(C9+C10)</f>
        <v>0</v>
      </c>
      <c r="D11" s="43"/>
      <c r="E11" s="43"/>
      <c r="F11" s="43"/>
      <c r="G11" s="46" t="s">
        <v>271</v>
      </c>
    </row>
    <row r="12" customFormat="false" ht="15" hidden="false" customHeight="false" outlineLevel="0" collapsed="false">
      <c r="B12" s="9" t="s">
        <v>272</v>
      </c>
      <c r="C12" s="36" t="n">
        <f aca="false">COUNTIF('03 Indici'!$G$5:$G$47,"Fuori (alto)")+COUNTIF('03 Indici'!$G$5:$G$47,"Fuori (basso)")</f>
        <v>0</v>
      </c>
      <c r="D12" s="43"/>
      <c r="E12" s="43"/>
      <c r="F12" s="43"/>
      <c r="G12" s="43"/>
    </row>
    <row r="13" customFormat="false" ht="15" hidden="false" customHeight="false" outlineLevel="0" collapsed="false">
      <c r="B13" s="9" t="s">
        <v>273</v>
      </c>
      <c r="C13" s="36" t="n">
        <f aca="false">COUNTIF('03 Indici'!$G$5:$G$47,"Borderline")</f>
        <v>0</v>
      </c>
      <c r="D13" s="43"/>
      <c r="E13" s="43"/>
      <c r="F13" s="43"/>
      <c r="G13" s="43"/>
    </row>
    <row r="15" customFormat="false" ht="15" hidden="false" customHeight="false" outlineLevel="0" collapsed="false">
      <c r="B15" s="44" t="s">
        <v>274</v>
      </c>
    </row>
    <row r="16" customFormat="false" ht="31.5" hidden="false" customHeight="true" outlineLevel="0" collapsed="false">
      <c r="A16" s="6"/>
      <c r="B16" s="6" t="s">
        <v>275</v>
      </c>
      <c r="C16" s="6" t="s">
        <v>276</v>
      </c>
      <c r="D16" s="6" t="s">
        <v>277</v>
      </c>
      <c r="E16" s="6" t="s">
        <v>278</v>
      </c>
      <c r="F16" s="6" t="s">
        <v>279</v>
      </c>
      <c r="G16" s="6" t="s">
        <v>26</v>
      </c>
    </row>
    <row r="17" customFormat="false" ht="15" hidden="false" customHeight="false" outlineLevel="0" collapsed="false">
      <c r="B17" s="47" t="s">
        <v>139</v>
      </c>
      <c r="C17" s="11" t="n">
        <f aca="false">COUNTIFS('03 Indici'!$K$5:$K$47,B17,'03 Indici'!$I$5:$I$47,"&gt;=0")</f>
        <v>0</v>
      </c>
      <c r="D17" s="11" t="n">
        <f aca="false">SUMIFS('03 Indici'!$J$5:$J$47,'03 Indici'!$K$5:$K$47,B17)</f>
        <v>0</v>
      </c>
      <c r="E17" s="29" t="n">
        <f aca="false">IF(C17=0,0,D17/C17)</f>
        <v>0</v>
      </c>
      <c r="F17" s="29" t="n">
        <f aca="false">IF(C17=0,0,SUMIFS('03 Indici'!$H$5:$H$47,'03 Indici'!$K$5:$K$47,B17,'03 Indici'!$I$5:$I$47,"&gt;=0")/C17*3)</f>
        <v>0</v>
      </c>
      <c r="G17" s="9"/>
    </row>
    <row r="18" customFormat="false" ht="15" hidden="false" customHeight="false" outlineLevel="0" collapsed="false">
      <c r="B18" s="47" t="s">
        <v>85</v>
      </c>
      <c r="C18" s="11" t="n">
        <f aca="false">COUNTIFS('03 Indici'!$K$5:$K$47,B18,'03 Indici'!$I$5:$I$47,"&gt;=0")</f>
        <v>0</v>
      </c>
      <c r="D18" s="11" t="n">
        <f aca="false">SUMIFS('03 Indici'!$J$5:$J$47,'03 Indici'!$K$5:$K$47,B18)</f>
        <v>0</v>
      </c>
      <c r="E18" s="29" t="n">
        <f aca="false">IF(C18=0,0,D18/C18)</f>
        <v>0</v>
      </c>
      <c r="F18" s="29" t="n">
        <f aca="false">IF(C18=0,0,SUMIFS('03 Indici'!$H$5:$H$47,'03 Indici'!$K$5:$K$47,B18,'03 Indici'!$I$5:$I$47,"&gt;=0")/C18*3)</f>
        <v>0</v>
      </c>
      <c r="G18" s="9"/>
    </row>
    <row r="19" customFormat="false" ht="15" hidden="false" customHeight="false" outlineLevel="0" collapsed="false">
      <c r="B19" s="47" t="s">
        <v>193</v>
      </c>
      <c r="C19" s="11" t="n">
        <f aca="false">COUNTIFS('03 Indici'!$K$5:$K$47,B19,'03 Indici'!$I$5:$I$47,"&gt;=0")</f>
        <v>0</v>
      </c>
      <c r="D19" s="11" t="n">
        <f aca="false">SUMIFS('03 Indici'!$J$5:$J$47,'03 Indici'!$K$5:$K$47,B19)</f>
        <v>0</v>
      </c>
      <c r="E19" s="29" t="n">
        <f aca="false">IF(C19=0,0,D19/C19)</f>
        <v>0</v>
      </c>
      <c r="F19" s="29" t="n">
        <f aca="false">IF(C19=0,0,SUMIFS('03 Indici'!$H$5:$H$47,'03 Indici'!$K$5:$K$47,B19,'03 Indici'!$I$5:$I$47,"&gt;=0")/C19*3)</f>
        <v>0</v>
      </c>
      <c r="G19" s="9"/>
    </row>
    <row r="20" customFormat="false" ht="15" hidden="false" customHeight="false" outlineLevel="0" collapsed="false">
      <c r="B20" s="47" t="s">
        <v>151</v>
      </c>
      <c r="C20" s="11" t="n">
        <f aca="false">COUNTIFS('03 Indici'!$K$5:$K$47,B20,'03 Indici'!$I$5:$I$47,"&gt;=0")</f>
        <v>0</v>
      </c>
      <c r="D20" s="11" t="n">
        <f aca="false">SUMIFS('03 Indici'!$J$5:$J$47,'03 Indici'!$K$5:$K$47,B20)</f>
        <v>0</v>
      </c>
      <c r="E20" s="29" t="n">
        <f aca="false">IF(C20=0,0,D20/C20)</f>
        <v>0</v>
      </c>
      <c r="F20" s="29" t="n">
        <f aca="false">IF(C20=0,0,SUMIFS('03 Indici'!$H$5:$H$47,'03 Indici'!$K$5:$K$47,B20,'03 Indici'!$I$5:$I$47,"&gt;=0")/C20*3)</f>
        <v>0</v>
      </c>
      <c r="G20" s="9"/>
    </row>
    <row r="21" customFormat="false" ht="15" hidden="false" customHeight="false" outlineLevel="0" collapsed="false">
      <c r="B21" s="47" t="s">
        <v>170</v>
      </c>
      <c r="C21" s="11" t="n">
        <f aca="false">COUNTIFS('03 Indici'!$K$5:$K$47,B21,'03 Indici'!$I$5:$I$47,"&gt;=0")</f>
        <v>0</v>
      </c>
      <c r="D21" s="11" t="n">
        <f aca="false">SUMIFS('03 Indici'!$J$5:$J$47,'03 Indici'!$K$5:$K$47,B21)</f>
        <v>0</v>
      </c>
      <c r="E21" s="29" t="n">
        <f aca="false">IF(C21=0,0,D21/C21)</f>
        <v>0</v>
      </c>
      <c r="F21" s="29" t="n">
        <f aca="false">IF(C21=0,0,SUMIFS('03 Indici'!$H$5:$H$47,'03 Indici'!$K$5:$K$47,B21,'03 Indici'!$I$5:$I$47,"&gt;=0")/C21*3)</f>
        <v>0</v>
      </c>
      <c r="G21" s="9"/>
    </row>
    <row r="22" customFormat="false" ht="15" hidden="false" customHeight="false" outlineLevel="0" collapsed="false">
      <c r="B22" s="47" t="s">
        <v>182</v>
      </c>
      <c r="C22" s="11" t="n">
        <f aca="false">COUNTIFS('03 Indici'!$K$5:$K$47,B22,'03 Indici'!$I$5:$I$47,"&gt;=0")</f>
        <v>0</v>
      </c>
      <c r="D22" s="11" t="n">
        <f aca="false">SUMIFS('03 Indici'!$J$5:$J$47,'03 Indici'!$K$5:$K$47,B22)</f>
        <v>0</v>
      </c>
      <c r="E22" s="29" t="n">
        <f aca="false">IF(C22=0,0,D22/C22)</f>
        <v>0</v>
      </c>
      <c r="F22" s="29" t="n">
        <f aca="false">IF(C22=0,0,SUMIFS('03 Indici'!$H$5:$H$47,'03 Indici'!$K$5:$K$47,B22,'03 Indici'!$I$5:$I$47,"&gt;=0")/C22*3)</f>
        <v>0</v>
      </c>
      <c r="G22" s="9"/>
    </row>
    <row r="23" customFormat="false" ht="15" hidden="false" customHeight="false" outlineLevel="0" collapsed="false">
      <c r="B23" s="47" t="s">
        <v>197</v>
      </c>
      <c r="C23" s="11" t="n">
        <f aca="false">COUNTIFS('03 Indici'!$K$5:$K$47,B23,'03 Indici'!$I$5:$I$47,"&gt;=0")</f>
        <v>0</v>
      </c>
      <c r="D23" s="11" t="n">
        <f aca="false">SUMIFS('03 Indici'!$J$5:$J$47,'03 Indici'!$K$5:$K$47,B23)</f>
        <v>0</v>
      </c>
      <c r="E23" s="29" t="n">
        <f aca="false">IF(C23=0,0,D23/C23)</f>
        <v>0</v>
      </c>
      <c r="F23" s="29" t="n">
        <f aca="false">IF(C23=0,0,SUMIFS('03 Indici'!$H$5:$H$47,'03 Indici'!$K$5:$K$47,B23,'03 Indici'!$I$5:$I$47,"&gt;=0")/C23*3)</f>
        <v>0</v>
      </c>
      <c r="G23" s="9"/>
    </row>
    <row r="24" customFormat="false" ht="15" hidden="false" customHeight="false" outlineLevel="0" collapsed="false">
      <c r="B24" s="47" t="s">
        <v>199</v>
      </c>
      <c r="C24" s="11" t="n">
        <f aca="false">COUNTIFS('03 Indici'!$K$5:$K$47,B24,'03 Indici'!$I$5:$I$47,"&gt;=0")</f>
        <v>0</v>
      </c>
      <c r="D24" s="11" t="n">
        <f aca="false">SUMIFS('03 Indici'!$J$5:$J$47,'03 Indici'!$K$5:$K$47,B24)</f>
        <v>0</v>
      </c>
      <c r="E24" s="29" t="n">
        <f aca="false">IF(C24=0,0,D24/C24)</f>
        <v>0</v>
      </c>
      <c r="F24" s="29" t="n">
        <f aca="false">IF(C24=0,0,SUMIFS('03 Indici'!$H$5:$H$47,'03 Indici'!$K$5:$K$47,B24,'03 Indici'!$I$5:$I$47,"&gt;=0")/C24*3)</f>
        <v>0</v>
      </c>
      <c r="G24" s="9"/>
    </row>
    <row r="25" customFormat="false" ht="15" hidden="false" customHeight="false" outlineLevel="0" collapsed="false">
      <c r="B25" s="47" t="s">
        <v>158</v>
      </c>
      <c r="C25" s="11" t="n">
        <f aca="false">COUNTIFS('03 Indici'!$K$5:$K$47,B25,'03 Indici'!$I$5:$I$47,"&gt;=0")</f>
        <v>0</v>
      </c>
      <c r="D25" s="11" t="n">
        <f aca="false">SUMIFS('03 Indici'!$J$5:$J$47,'03 Indici'!$K$5:$K$47,B25)</f>
        <v>0</v>
      </c>
      <c r="E25" s="29" t="n">
        <f aca="false">IF(C25=0,0,D25/C25)</f>
        <v>0</v>
      </c>
      <c r="F25" s="29" t="n">
        <f aca="false">IF(C25=0,0,SUMIFS('03 Indici'!$H$5:$H$47,'03 Indici'!$K$5:$K$47,B25,'03 Indici'!$I$5:$I$47,"&gt;=0")/C25*3)</f>
        <v>0</v>
      </c>
      <c r="G25" s="9"/>
    </row>
    <row r="26" customFormat="false" ht="15" hidden="false" customHeight="false" outlineLevel="0" collapsed="false">
      <c r="B26" s="47" t="s">
        <v>70</v>
      </c>
      <c r="C26" s="11" t="n">
        <f aca="false">COUNTIFS('03 Indici'!$K$5:$K$47,B26,'03 Indici'!$I$5:$I$47,"&gt;=0")</f>
        <v>0</v>
      </c>
      <c r="D26" s="11" t="n">
        <f aca="false">SUMIFS('03 Indici'!$J$5:$J$47,'03 Indici'!$K$5:$K$47,B26)</f>
        <v>0</v>
      </c>
      <c r="E26" s="29" t="n">
        <f aca="false">IF(C26=0,0,D26/C26)</f>
        <v>0</v>
      </c>
      <c r="F26" s="29" t="n">
        <f aca="false">IF(C26=0,0,SUMIFS('03 Indici'!$H$5:$H$47,'03 Indici'!$K$5:$K$47,B26,'03 Indici'!$I$5:$I$47,"&gt;=0")/C26*3)</f>
        <v>0</v>
      </c>
      <c r="G26" s="9"/>
    </row>
    <row r="27" customFormat="false" ht="15" hidden="false" customHeight="false" outlineLevel="0" collapsed="false">
      <c r="B27" s="47" t="s">
        <v>89</v>
      </c>
      <c r="C27" s="11" t="n">
        <f aca="false">COUNTIFS('03 Indici'!$K$5:$K$47,B27,'03 Indici'!$I$5:$I$47,"&gt;=0")</f>
        <v>0</v>
      </c>
      <c r="D27" s="11" t="n">
        <f aca="false">SUMIFS('03 Indici'!$J$5:$J$47,'03 Indici'!$K$5:$K$47,B27)</f>
        <v>0</v>
      </c>
      <c r="E27" s="29" t="n">
        <f aca="false">IF(C27=0,0,D27/C27)</f>
        <v>0</v>
      </c>
      <c r="F27" s="29" t="n">
        <f aca="false">IF(C27=0,0,SUMIFS('03 Indici'!$H$5:$H$47,'03 Indici'!$K$5:$K$47,B27,'03 Indici'!$I$5:$I$47,"&gt;=0")/C27*3)</f>
        <v>0</v>
      </c>
      <c r="G27" s="9"/>
    </row>
    <row r="28" customFormat="false" ht="15" hidden="false" customHeight="false" outlineLevel="0" collapsed="false">
      <c r="B28" s="47" t="s">
        <v>179</v>
      </c>
      <c r="C28" s="11" t="n">
        <f aca="false">COUNTIFS('03 Indici'!$K$5:$K$47,B28,'03 Indici'!$I$5:$I$47,"&gt;=0")</f>
        <v>0</v>
      </c>
      <c r="D28" s="11" t="n">
        <f aca="false">SUMIFS('03 Indici'!$J$5:$J$47,'03 Indici'!$K$5:$K$47,B28)</f>
        <v>0</v>
      </c>
      <c r="E28" s="29" t="n">
        <f aca="false">IF(C28=0,0,D28/C28)</f>
        <v>0</v>
      </c>
      <c r="F28" s="29" t="n">
        <f aca="false">IF(C28=0,0,SUMIFS('03 Indici'!$H$5:$H$47,'03 Indici'!$K$5:$K$47,B28,'03 Indici'!$I$5:$I$47,"&gt;=0")/C28*3)</f>
        <v>0</v>
      </c>
      <c r="G28" s="9"/>
    </row>
    <row r="29" customFormat="false" ht="15" hidden="false" customHeight="false" outlineLevel="0" collapsed="false">
      <c r="B29" s="47" t="s">
        <v>164</v>
      </c>
      <c r="C29" s="11" t="n">
        <f aca="false">COUNTIFS('03 Indici'!$K$5:$K$47,B29,'03 Indici'!$I$5:$I$47,"&gt;=0")</f>
        <v>0</v>
      </c>
      <c r="D29" s="11" t="n">
        <f aca="false">SUMIFS('03 Indici'!$J$5:$J$47,'03 Indici'!$K$5:$K$47,B29)</f>
        <v>0</v>
      </c>
      <c r="E29" s="29" t="n">
        <f aca="false">IF(C29=0,0,D29/C29)</f>
        <v>0</v>
      </c>
      <c r="F29" s="29" t="n">
        <f aca="false">IF(C29=0,0,SUMIFS('03 Indici'!$H$5:$H$47,'03 Indici'!$K$5:$K$47,B29,'03 Indici'!$I$5:$I$47,"&gt;=0")/C29*3)</f>
        <v>0</v>
      </c>
      <c r="G29" s="9"/>
    </row>
    <row r="30" customFormat="false" ht="15" hidden="false" customHeight="false" outlineLevel="0" collapsed="false">
      <c r="B30" s="47" t="s">
        <v>69</v>
      </c>
      <c r="C30" s="11" t="n">
        <f aca="false">COUNTIFS('03 Indici'!$K$5:$K$47,B30,'03 Indici'!$I$5:$I$47,"&gt;=0")</f>
        <v>0</v>
      </c>
      <c r="D30" s="11" t="n">
        <f aca="false">SUMIFS('03 Indici'!$J$5:$J$47,'03 Indici'!$K$5:$K$47,B30)</f>
        <v>0</v>
      </c>
      <c r="E30" s="29" t="n">
        <f aca="false">IF(C30=0,0,D30/C30)</f>
        <v>0</v>
      </c>
      <c r="F30" s="29" t="n">
        <f aca="false">IF(C30=0,0,SUMIFS('03 Indici'!$H$5:$H$47,'03 Indici'!$K$5:$K$47,B30,'03 Indici'!$I$5:$I$47,"&gt;=0")/C30*3)</f>
        <v>0</v>
      </c>
      <c r="G30" s="9"/>
    </row>
    <row r="31" customFormat="false" ht="15" hidden="false" customHeight="false" outlineLevel="0" collapsed="false">
      <c r="B31" s="47" t="s">
        <v>143</v>
      </c>
      <c r="C31" s="11" t="n">
        <f aca="false">COUNTIFS('03 Indici'!$K$5:$K$47,B31,'03 Indici'!$I$5:$I$47,"&gt;=0")</f>
        <v>0</v>
      </c>
      <c r="D31" s="11" t="n">
        <f aca="false">SUMIFS('03 Indici'!$J$5:$J$47,'03 Indici'!$K$5:$K$47,B31)</f>
        <v>0</v>
      </c>
      <c r="E31" s="29" t="n">
        <f aca="false">IF(C31=0,0,D31/C31)</f>
        <v>0</v>
      </c>
      <c r="F31" s="29" t="n">
        <f aca="false">IF(C31=0,0,SUMIFS('03 Indici'!$H$5:$H$47,'03 Indici'!$K$5:$K$47,B31,'03 Indici'!$I$5:$I$47,"&gt;=0")/C31*3)</f>
        <v>0</v>
      </c>
      <c r="G31" s="9"/>
    </row>
    <row r="32" customFormat="false" ht="15" hidden="false" customHeight="false" outlineLevel="0" collapsed="false">
      <c r="B32" s="48" t="s">
        <v>280</v>
      </c>
      <c r="C32" s="8"/>
      <c r="D32" s="8"/>
      <c r="E32" s="49" t="n">
        <f aca="false">SUM(E17:E31)</f>
        <v>0</v>
      </c>
      <c r="F32" s="49" t="n">
        <f aca="false">SUM(F17:F31)</f>
        <v>0</v>
      </c>
      <c r="G32" s="50" t="s">
        <v>281</v>
      </c>
    </row>
    <row r="34" customFormat="false" ht="15" hidden="false" customHeight="false" outlineLevel="0" collapsed="false">
      <c r="B34" s="51" t="s">
        <v>282</v>
      </c>
    </row>
    <row r="35" customFormat="false" ht="15" hidden="false" customHeight="true" outlineLevel="0" collapsed="false">
      <c r="B35" s="52" t="s">
        <v>283</v>
      </c>
      <c r="C35" s="52"/>
      <c r="D35" s="52"/>
      <c r="E35" s="52"/>
      <c r="F35" s="52"/>
      <c r="G35" s="52"/>
    </row>
    <row r="36" customFormat="false" ht="15" hidden="false" customHeight="false" outlineLevel="0" collapsed="false">
      <c r="B36" s="52"/>
      <c r="C36" s="52"/>
      <c r="D36" s="52"/>
      <c r="E36" s="52"/>
      <c r="F36" s="52"/>
      <c r="G36" s="52"/>
    </row>
    <row r="37" customFormat="false" ht="15" hidden="false" customHeight="false" outlineLevel="0" collapsed="false">
      <c r="B37" s="52"/>
      <c r="C37" s="52"/>
      <c r="D37" s="52"/>
      <c r="E37" s="52"/>
      <c r="F37" s="52"/>
      <c r="G37" s="52"/>
    </row>
    <row r="39" customFormat="false" ht="15" hidden="false" customHeight="false" outlineLevel="0" collapsed="false">
      <c r="B39" s="44" t="s">
        <v>284</v>
      </c>
    </row>
    <row r="40" customFormat="false" ht="25.5" hidden="false" customHeight="true" outlineLevel="0" collapsed="false">
      <c r="B40" s="9" t="s">
        <v>285</v>
      </c>
      <c r="C40" s="53" t="str">
        <f aca="false">IF(OR('01 Paziente'!$B$55="",'01 Paziente'!$B$14="",'01 Paziente'!$B$13=""),"dati mancanti",IF(AND('01 Paziente'!$B$55&lt;25,'01 Paziente'!$B$14/'01 Paziente'!$B$13&gt;0.5),"PRESENTE","assente"))</f>
        <v>dati mancanti</v>
      </c>
      <c r="D40" s="53"/>
      <c r="E40" s="43"/>
      <c r="F40" s="43"/>
      <c r="G40" s="18" t="s">
        <v>286</v>
      </c>
    </row>
    <row r="41" customFormat="false" ht="25.5" hidden="false" customHeight="true" outlineLevel="0" collapsed="false">
      <c r="B41" s="9" t="s">
        <v>125</v>
      </c>
      <c r="C41" s="53" t="str">
        <f aca="false">IF(OR('01 Paziente'!$B$37="",'01 Paziente'!$B$34=""),"dati mancanti",IF('01 Paziente'!$B$37&gt;0.5,"NO - infiammazione in atto","si"))</f>
        <v>dati mancanti</v>
      </c>
      <c r="D41" s="53"/>
      <c r="E41" s="43"/>
      <c r="F41" s="43"/>
      <c r="G41" s="18" t="s">
        <v>287</v>
      </c>
    </row>
    <row r="42" customFormat="false" ht="39" hidden="false" customHeight="true" outlineLevel="0" collapsed="false">
      <c r="B42" s="9" t="s">
        <v>288</v>
      </c>
      <c r="C42" s="53" t="str">
        <f aca="false">IF(OR('01 Paziente'!$B$32="",'01 Paziente'!$B$33="",'01 Paziente'!$B$34=""),"dati mancanti",IF(AND('01 Paziente'!$B$32/('01 Paziente'!$B$33*1.404)*100&lt;20,'01 Paziente'!$B$34&gt;IF('01 Paziente'!$B$8="M",30,15)),"PRESENTE","assente"))</f>
        <v>dati mancanti</v>
      </c>
      <c r="D42" s="53"/>
      <c r="E42" s="43"/>
      <c r="F42" s="43"/>
      <c r="G42" s="18" t="s">
        <v>289</v>
      </c>
    </row>
    <row r="43" customFormat="false" ht="25.5" hidden="false" customHeight="true" outlineLevel="0" collapsed="false">
      <c r="B43" s="9" t="s">
        <v>290</v>
      </c>
      <c r="C43" s="53" t="str">
        <f aca="false">IF(OR('01 Paziente'!$B$37="",'01 Paziente'!$B$43="",'01 Paziente'!$B$44="",'01 Paziente'!$B$45=""),"dati mancanti",IF(AND('01 Paziente'!$B$37&lt;=0.5,'01 Paziente'!$B$43*'01 Paziente'!$B$45/'01 Paziente'!$B$44&gt;0.68),"PRESENTE","assente"))</f>
        <v>dati mancanti</v>
      </c>
      <c r="D43" s="53"/>
      <c r="E43" s="43"/>
      <c r="F43" s="43"/>
      <c r="G43" s="18" t="s">
        <v>291</v>
      </c>
    </row>
    <row r="44" customFormat="false" ht="25.5" hidden="false" customHeight="true" outlineLevel="0" collapsed="false">
      <c r="B44" s="9" t="s">
        <v>292</v>
      </c>
      <c r="C44" s="53" t="str">
        <f aca="false">IF('01 Paziente'!$B$52="","non indagato",IF('01 Paziente'!$B$52=1,"SI - proporre studio del sonno","no"))</f>
        <v>non indagato</v>
      </c>
      <c r="D44" s="53"/>
      <c r="E44" s="43"/>
      <c r="F44" s="43"/>
      <c r="G44" s="18" t="s">
        <v>293</v>
      </c>
    </row>
    <row r="45" customFormat="false" ht="25.5" hidden="false" customHeight="true" outlineLevel="0" collapsed="false">
      <c r="B45" s="9" t="s">
        <v>294</v>
      </c>
      <c r="C45" s="53" t="str">
        <f aca="false">IF('01 Paziente'!$B$16="","dati mancanti",IF('01 Paziente'!$B$16&lt;IF('01 Paziente'!$B$8="M",34,33),"SI - confermare con forza di presa","no"))</f>
        <v>dati mancanti</v>
      </c>
      <c r="D45" s="53"/>
      <c r="E45" s="43"/>
      <c r="F45" s="43"/>
      <c r="G45" s="18" t="s">
        <v>295</v>
      </c>
    </row>
  </sheetData>
  <mergeCells count="10">
    <mergeCell ref="C4:D6"/>
    <mergeCell ref="E4:F6"/>
    <mergeCell ref="G4:G6"/>
    <mergeCell ref="B35:G37"/>
    <mergeCell ref="C40:D40"/>
    <mergeCell ref="C41:D41"/>
    <mergeCell ref="C42:D42"/>
    <mergeCell ref="C43:D43"/>
    <mergeCell ref="C44:D44"/>
    <mergeCell ref="C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13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30" hidden="false" customHeight="true" outlineLevel="0" collapsed="false">
      <c r="A4" s="6"/>
      <c r="B4" s="6" t="s">
        <v>298</v>
      </c>
      <c r="C4" s="6" t="s">
        <v>299</v>
      </c>
      <c r="D4" s="6" t="s">
        <v>300</v>
      </c>
      <c r="E4" s="6" t="s">
        <v>301</v>
      </c>
      <c r="F4" s="6" t="s">
        <v>302</v>
      </c>
      <c r="G4" s="6" t="s">
        <v>303</v>
      </c>
      <c r="H4" s="6" t="s">
        <v>304</v>
      </c>
      <c r="I4" s="6" t="s">
        <v>26</v>
      </c>
    </row>
    <row r="5" customFormat="false" ht="24" hidden="false" customHeight="true" outlineLevel="0" collapsed="false">
      <c r="A5" s="11" t="n">
        <v>1</v>
      </c>
      <c r="B5" s="47" t="s">
        <v>305</v>
      </c>
      <c r="C5" s="54"/>
      <c r="D5" s="54"/>
      <c r="E5" s="54"/>
      <c r="F5" s="54"/>
      <c r="G5" s="54"/>
      <c r="H5" s="9"/>
      <c r="I5" s="18" t="s">
        <v>306</v>
      </c>
    </row>
    <row r="6" customFormat="false" ht="24" hidden="false" customHeight="true" outlineLevel="0" collapsed="false">
      <c r="A6" s="11" t="n">
        <v>2</v>
      </c>
      <c r="B6" s="47" t="s">
        <v>307</v>
      </c>
      <c r="C6" s="22"/>
      <c r="D6" s="22"/>
      <c r="E6" s="22"/>
      <c r="F6" s="22"/>
      <c r="G6" s="22"/>
      <c r="H6" s="55" t="str">
        <f aca="false">IF(OR(C6="",COUNT(D6:G6)=0),"",INDEX(D6:G6,MATCH(9.99E+307,D6:G6))-C6)</f>
        <v/>
      </c>
      <c r="I6" s="18" t="s">
        <v>308</v>
      </c>
    </row>
    <row r="7" customFormat="false" ht="24" hidden="false" customHeight="true" outlineLevel="0" collapsed="false">
      <c r="A7" s="11" t="n">
        <v>3</v>
      </c>
      <c r="B7" s="47" t="s">
        <v>309</v>
      </c>
      <c r="C7" s="22"/>
      <c r="D7" s="22"/>
      <c r="E7" s="22"/>
      <c r="F7" s="22"/>
      <c r="G7" s="22"/>
      <c r="H7" s="55" t="str">
        <f aca="false">IF(OR(C7="",COUNT(D7:G7)=0),"",INDEX(D7:G7,MATCH(9.99E+307,D7:G7))-C7)</f>
        <v/>
      </c>
      <c r="I7" s="18"/>
    </row>
    <row r="8" customFormat="false" ht="25.5" hidden="false" customHeight="true" outlineLevel="0" collapsed="false">
      <c r="A8" s="11" t="n">
        <v>4</v>
      </c>
      <c r="B8" s="47" t="s">
        <v>310</v>
      </c>
      <c r="C8" s="22"/>
      <c r="D8" s="22"/>
      <c r="E8" s="22"/>
      <c r="F8" s="22"/>
      <c r="G8" s="22"/>
      <c r="H8" s="55" t="str">
        <f aca="false">IF(OR(C8="",COUNT(D8:G8)=0),"",INDEX(D8:G8,MATCH(9.99E+307,D8:G8))-C8)</f>
        <v/>
      </c>
      <c r="I8" s="18" t="s">
        <v>311</v>
      </c>
    </row>
    <row r="9" customFormat="false" ht="24" hidden="false" customHeight="true" outlineLevel="0" collapsed="false">
      <c r="A9" s="11" t="n">
        <v>5</v>
      </c>
      <c r="B9" s="47" t="s">
        <v>141</v>
      </c>
      <c r="C9" s="16"/>
      <c r="D9" s="16"/>
      <c r="E9" s="16"/>
      <c r="F9" s="16"/>
      <c r="G9" s="16"/>
      <c r="H9" s="56" t="str">
        <f aca="false">IF(OR(C9="",COUNT(D9:G9)=0),"",INDEX(D9:G9,MATCH(9.99E+307,D9:G9))-C9)</f>
        <v/>
      </c>
      <c r="I9" s="18" t="s">
        <v>312</v>
      </c>
    </row>
    <row r="10" customFormat="false" ht="25.5" hidden="false" customHeight="true" outlineLevel="0" collapsed="false">
      <c r="A10" s="11" t="n">
        <v>6</v>
      </c>
      <c r="B10" s="47" t="s">
        <v>313</v>
      </c>
      <c r="C10" s="23"/>
      <c r="D10" s="23"/>
      <c r="E10" s="23"/>
      <c r="F10" s="23"/>
      <c r="G10" s="23"/>
      <c r="H10" s="57" t="str">
        <f aca="false">IF(OR(C10="",COUNT(D10:G10)=0),"",INDEX(D10:G10,MATCH(9.99E+307,D10:G10))-C10)</f>
        <v/>
      </c>
      <c r="I10" s="18" t="s">
        <v>314</v>
      </c>
    </row>
    <row r="11" customFormat="false" ht="24" hidden="false" customHeight="true" outlineLevel="0" collapsed="false">
      <c r="A11" s="11" t="n">
        <v>7</v>
      </c>
      <c r="B11" s="47" t="s">
        <v>315</v>
      </c>
      <c r="C11" s="23"/>
      <c r="D11" s="23"/>
      <c r="E11" s="23"/>
      <c r="F11" s="23"/>
      <c r="G11" s="23"/>
      <c r="H11" s="57" t="str">
        <f aca="false">IF(OR(C11="",COUNT(D11:G11)=0),"",INDEX(D11:G11,MATCH(9.99E+307,D11:G11))-C11)</f>
        <v/>
      </c>
      <c r="I11" s="18"/>
    </row>
    <row r="12" customFormat="false" ht="25.5" hidden="false" customHeight="true" outlineLevel="0" collapsed="false">
      <c r="A12" s="11" t="n">
        <v>8</v>
      </c>
      <c r="B12" s="47" t="s">
        <v>316</v>
      </c>
      <c r="C12" s="23"/>
      <c r="D12" s="23"/>
      <c r="E12" s="23"/>
      <c r="F12" s="23"/>
      <c r="G12" s="23"/>
      <c r="H12" s="57" t="str">
        <f aca="false">IF(OR(C12="",COUNT(D12:G12)=0),"",INDEX(D12:G12,MATCH(9.99E+307,D12:G12))-C12)</f>
        <v/>
      </c>
      <c r="I12" s="18" t="s">
        <v>317</v>
      </c>
    </row>
    <row r="13" customFormat="false" ht="24" hidden="false" customHeight="true" outlineLevel="0" collapsed="false">
      <c r="A13" s="11" t="n">
        <v>9</v>
      </c>
      <c r="B13" s="47" t="s">
        <v>318</v>
      </c>
      <c r="C13" s="23"/>
      <c r="D13" s="23"/>
      <c r="E13" s="23"/>
      <c r="F13" s="23"/>
      <c r="G13" s="23"/>
      <c r="H13" s="57" t="str">
        <f aca="false">IF(OR(C13="",COUNT(D13:G13)=0),"",INDEX(D13:G13,MATCH(9.99E+307,D13:G13))-C13)</f>
        <v/>
      </c>
      <c r="I13" s="18"/>
    </row>
    <row r="14" customFormat="false" ht="25.5" hidden="false" customHeight="true" outlineLevel="0" collapsed="false">
      <c r="A14" s="11" t="n">
        <v>10</v>
      </c>
      <c r="B14" s="47" t="s">
        <v>319</v>
      </c>
      <c r="C14" s="22"/>
      <c r="D14" s="22"/>
      <c r="E14" s="22"/>
      <c r="F14" s="22"/>
      <c r="G14" s="22"/>
      <c r="H14" s="55" t="str">
        <f aca="false">IF(OR(C14="",COUNT(D14:G14)=0),"",INDEX(D14:G14,MATCH(9.99E+307,D14:G14))-C14)</f>
        <v/>
      </c>
      <c r="I14" s="18" t="s">
        <v>320</v>
      </c>
    </row>
    <row r="15" customFormat="false" ht="24" hidden="false" customHeight="true" outlineLevel="0" collapsed="false">
      <c r="A15" s="11" t="n">
        <v>11</v>
      </c>
      <c r="B15" s="47" t="s">
        <v>321</v>
      </c>
      <c r="C15" s="23"/>
      <c r="D15" s="23"/>
      <c r="E15" s="23"/>
      <c r="F15" s="23"/>
      <c r="G15" s="23"/>
      <c r="H15" s="57" t="str">
        <f aca="false">IF(OR(C15="",COUNT(D15:G15)=0),"",INDEX(D15:G15,MATCH(9.99E+307,D15:G15))-C15)</f>
        <v/>
      </c>
      <c r="I15" s="18"/>
    </row>
    <row r="16" customFormat="false" ht="24" hidden="false" customHeight="true" outlineLevel="0" collapsed="false">
      <c r="A16" s="11" t="n">
        <v>12</v>
      </c>
      <c r="B16" s="47" t="s">
        <v>322</v>
      </c>
      <c r="C16" s="16"/>
      <c r="D16" s="16"/>
      <c r="E16" s="16"/>
      <c r="F16" s="16"/>
      <c r="G16" s="16"/>
      <c r="H16" s="56" t="str">
        <f aca="false">IF(OR(C16="",COUNT(D16:G16)=0),"",INDEX(D16:G16,MATCH(9.99E+307,D16:G16))-C16)</f>
        <v/>
      </c>
      <c r="I16" s="18"/>
    </row>
    <row r="17" customFormat="false" ht="25.5" hidden="false" customHeight="true" outlineLevel="0" collapsed="false">
      <c r="A17" s="11" t="n">
        <v>13</v>
      </c>
      <c r="B17" s="47" t="s">
        <v>323</v>
      </c>
      <c r="C17" s="16"/>
      <c r="D17" s="16"/>
      <c r="E17" s="16"/>
      <c r="F17" s="16"/>
      <c r="G17" s="16"/>
      <c r="H17" s="56" t="str">
        <f aca="false">IF(OR(C17="",COUNT(D17:G17)=0),"",INDEX(D17:G17,MATCH(9.99E+307,D17:G17))-C17)</f>
        <v/>
      </c>
      <c r="I17" s="18" t="s">
        <v>324</v>
      </c>
    </row>
    <row r="18" customFormat="false" ht="25.5" hidden="false" customHeight="true" outlineLevel="0" collapsed="false">
      <c r="A18" s="11" t="n">
        <v>14</v>
      </c>
      <c r="B18" s="47" t="s">
        <v>103</v>
      </c>
      <c r="C18" s="23"/>
      <c r="D18" s="23"/>
      <c r="E18" s="23"/>
      <c r="F18" s="23"/>
      <c r="G18" s="23"/>
      <c r="H18" s="57" t="str">
        <f aca="false">IF(OR(C18="",COUNT(D18:G18)=0),"",INDEX(D18:G18,MATCH(9.99E+307,D18:G18))-C18)</f>
        <v/>
      </c>
      <c r="I18" s="18" t="s">
        <v>325</v>
      </c>
    </row>
    <row r="20" customFormat="false" ht="15" hidden="false" customHeight="false" outlineLevel="0" collapsed="false">
      <c r="B20" s="58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2026-08-10T10:54:12Z</dcterms:created>
  <dc:creator>openpyxl</dc:creator>
  <dc:description/>
  <dc:language>en-US</dc:language>
  <cp:lastModifiedBy/>
  <dcterms:modified xsi:type="dcterms:W3CDTF">2026-08-10T10:54:12Z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